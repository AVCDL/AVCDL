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7D547036-1510-9D46-8BA5-7E8B0F5E6E5D}" xr6:coauthVersionLast="47" xr6:coauthVersionMax="47" xr10:uidLastSave="{00000000-0000-0000-0000-000000000000}"/>
  <bookViews>
    <workbookView xWindow="-67740" yWindow="-29180" windowWidth="45980" windowHeight="20060" activeTab="3" xr2:uid="{FC1F75FD-599B-E943-AB61-76761819BEA0}"/>
  </bookViews>
  <sheets>
    <sheet name="cover sheet" sheetId="3" r:id="rId1"/>
    <sheet name="revision history" sheetId="4" r:id="rId2"/>
    <sheet name="references" sheetId="5" r:id="rId3"/>
    <sheet name="slicing" sheetId="6" r:id="rId4"/>
    <sheet name="800-30 quantization" sheetId="2" r:id="rId5"/>
    <sheet name="legend" sheetId="7" r:id="rId6"/>
    <sheet name="scratchpad" sheetId="1" r:id="rId7"/>
  </sheets>
  <externalReferences>
    <externalReference r:id="rId8"/>
  </externalReferences>
  <definedNames>
    <definedName name="DQ_end">'[1]domain quantization'!$C$20</definedName>
    <definedName name="DQ_start">'[1]domain quantization'!$B$5</definedName>
    <definedName name="high">scratchpad!$L$5</definedName>
    <definedName name="impact_end">'800-30 quantization'!$F$20</definedName>
    <definedName name="impact_low">'800-30 quantization'!$F$7</definedName>
    <definedName name="impact_moderate">'800-30 quantization'!$F$8</definedName>
    <definedName name="impact_none">'800-30 quantization'!$F$5</definedName>
    <definedName name="impact_start">'800-30 quantization'!$E$5</definedName>
    <definedName name="impact_very_high">'800-30 quantization'!$F$10</definedName>
    <definedName name="impact_very_low">'800-30 quantization'!$F$6</definedName>
    <definedName name="likelihood_end">'800-30 quantization'!$D$20</definedName>
    <definedName name="likelihood_high">'800-30 quantization'!$D$9</definedName>
    <definedName name="likelihood_low">'800-30 quantization'!$D$7</definedName>
    <definedName name="likelihood_moderate">'800-30 quantization'!$D$8</definedName>
    <definedName name="likelihood_none">'800-30 quantization'!$D$5</definedName>
    <definedName name="likelihood_start">'800-30 quantization'!$C$5</definedName>
    <definedName name="likelihood_very_high">'800-30 quantization'!$D$10</definedName>
    <definedName name="likelihood_very_low">'800-30 quantization'!$D$6</definedName>
    <definedName name="low">scratchpad!$J$5</definedName>
    <definedName name="medium">scratchpad!$K$5</definedName>
    <definedName name="none">scratchpad!$H$5</definedName>
    <definedName name="RQ_comp_e">'800-30 quantization'!$F$20</definedName>
    <definedName name="RQ_comp_s">'800-30 quantization'!$C$5</definedName>
    <definedName name="RQ_end" localSheetId="0">'[1]rubric quantization'!$C$20</definedName>
    <definedName name="RQ_end" localSheetId="5">'[1]rubric quantization'!$C$20</definedName>
    <definedName name="RQ_end" localSheetId="2">'[1]rubric quantization'!$C$20</definedName>
    <definedName name="RQ_end" localSheetId="1">'[1]rubric quantization'!$C$20</definedName>
    <definedName name="RQ_end" localSheetId="3">'[1]rubric quantization'!$C$20</definedName>
    <definedName name="RQ_end">'800-30 quantization'!$C$20</definedName>
    <definedName name="RQ_end_800">'800-30 quantization'!$C$20</definedName>
    <definedName name="RQ_end_comp">'800-30 quantization'!$F$20</definedName>
    <definedName name="RQ_likelihood_s">'800-30 quantization'!$C$5</definedName>
    <definedName name="RQ_start" localSheetId="0">'[1]rubric quantization'!$B$5</definedName>
    <definedName name="RQ_start" localSheetId="5">'[1]rubric quantization'!$B$5</definedName>
    <definedName name="RQ_start" localSheetId="2">'[1]rubric quantization'!$B$5</definedName>
    <definedName name="RQ_start" localSheetId="1">'[1]rubric quantization'!$B$5</definedName>
    <definedName name="RQ_start" localSheetId="3">'[1]rubric quantization'!$B$5</definedName>
    <definedName name="RQ_start">'800-30 quantization'!$B$5</definedName>
    <definedName name="RQ_start_800">'800-30 quantization'!$B$5</definedName>
    <definedName name="RQ_start_comp">'800-30 quantization'!$C$5</definedName>
    <definedName name="very_high">scratchpad!$M$5</definedName>
    <definedName name="very_low">scratchpad!$I$5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6" l="1"/>
  <c r="F19" i="6"/>
  <c r="F18" i="6"/>
  <c r="F16" i="6"/>
  <c r="F15" i="6"/>
  <c r="F14" i="6"/>
  <c r="F13" i="6"/>
  <c r="F12" i="6"/>
  <c r="F11" i="6"/>
  <c r="F10" i="6"/>
  <c r="F9" i="6"/>
  <c r="F8" i="6"/>
  <c r="F7" i="6"/>
  <c r="F6" i="6"/>
  <c r="E12" i="6"/>
  <c r="E11" i="6"/>
  <c r="E10" i="6"/>
  <c r="E9" i="6"/>
  <c r="E8" i="6"/>
  <c r="E7" i="6"/>
  <c r="E6" i="6"/>
  <c r="E5" i="6"/>
  <c r="F5" i="6" s="1"/>
  <c r="E20" i="6"/>
  <c r="E19" i="6"/>
  <c r="E18" i="6"/>
  <c r="E17" i="6"/>
  <c r="F17" i="6" s="1"/>
  <c r="E16" i="6"/>
  <c r="E15" i="6"/>
  <c r="E14" i="6"/>
  <c r="E13" i="6"/>
  <c r="L6" i="1"/>
  <c r="L7" i="1"/>
  <c r="L17" i="1" s="1"/>
  <c r="L31" i="1"/>
  <c r="L30" i="1"/>
  <c r="L29" i="1"/>
  <c r="L28" i="1"/>
  <c r="L27" i="1"/>
  <c r="L26" i="1"/>
  <c r="K31" i="1"/>
  <c r="K30" i="1"/>
  <c r="K29" i="1"/>
  <c r="K28" i="1"/>
  <c r="K27" i="1"/>
  <c r="K26" i="1"/>
  <c r="F21" i="1"/>
  <c r="F20" i="1"/>
  <c r="F19" i="1"/>
  <c r="F18" i="1"/>
  <c r="F17" i="1"/>
  <c r="F16" i="1"/>
  <c r="M14" i="1"/>
  <c r="L14" i="1"/>
  <c r="K14" i="1"/>
  <c r="J14" i="1"/>
  <c r="I14" i="1"/>
  <c r="H14" i="1"/>
  <c r="M11" i="1"/>
  <c r="M21" i="1" s="1"/>
  <c r="M10" i="1"/>
  <c r="M20" i="1" s="1"/>
  <c r="M9" i="1"/>
  <c r="M19" i="1" s="1"/>
  <c r="M8" i="1"/>
  <c r="M18" i="1" s="1"/>
  <c r="M7" i="1"/>
  <c r="M17" i="1" s="1"/>
  <c r="M6" i="1"/>
  <c r="M16" i="1" s="1"/>
  <c r="L11" i="1"/>
  <c r="L21" i="1" s="1"/>
  <c r="L10" i="1"/>
  <c r="L20" i="1" s="1"/>
  <c r="L9" i="1"/>
  <c r="L19" i="1" s="1"/>
  <c r="L8" i="1"/>
  <c r="L18" i="1" s="1"/>
  <c r="L16" i="1"/>
  <c r="K11" i="1"/>
  <c r="K21" i="1" s="1"/>
  <c r="K10" i="1"/>
  <c r="K20" i="1" s="1"/>
  <c r="K9" i="1"/>
  <c r="K19" i="1" s="1"/>
  <c r="K8" i="1"/>
  <c r="K18" i="1" s="1"/>
  <c r="K7" i="1"/>
  <c r="K17" i="1" s="1"/>
  <c r="K6" i="1"/>
  <c r="K16" i="1" s="1"/>
  <c r="J11" i="1"/>
  <c r="J21" i="1" s="1"/>
  <c r="J10" i="1"/>
  <c r="J20" i="1" s="1"/>
  <c r="J9" i="1"/>
  <c r="J19" i="1" s="1"/>
  <c r="J8" i="1"/>
  <c r="J18" i="1" s="1"/>
  <c r="J7" i="1"/>
  <c r="J17" i="1" s="1"/>
  <c r="J6" i="1"/>
  <c r="J16" i="1" s="1"/>
  <c r="I11" i="1"/>
  <c r="I21" i="1" s="1"/>
  <c r="I10" i="1"/>
  <c r="I20" i="1" s="1"/>
  <c r="I9" i="1"/>
  <c r="I19" i="1" s="1"/>
  <c r="I8" i="1"/>
  <c r="I18" i="1" s="1"/>
  <c r="I7" i="1"/>
  <c r="I17" i="1" s="1"/>
  <c r="I6" i="1"/>
  <c r="I16" i="1" s="1"/>
  <c r="H11" i="1"/>
  <c r="H21" i="1" s="1"/>
  <c r="H10" i="1"/>
  <c r="H20" i="1" s="1"/>
  <c r="H9" i="1"/>
  <c r="H19" i="1" s="1"/>
  <c r="H8" i="1"/>
  <c r="H18" i="1" s="1"/>
  <c r="H7" i="1"/>
  <c r="H17" i="1" s="1"/>
  <c r="H6" i="1"/>
  <c r="H16" i="1" s="1"/>
</calcChain>
</file>

<file path=xl/sharedStrings.xml><?xml version="1.0" encoding="utf-8"?>
<sst xmlns="http://schemas.openxmlformats.org/spreadsheetml/2006/main" count="107" uniqueCount="45">
  <si>
    <t>min value</t>
  </si>
  <si>
    <t>description</t>
  </si>
  <si>
    <t>notes</t>
  </si>
  <si>
    <t>none</t>
  </si>
  <si>
    <t>used to enable automation</t>
  </si>
  <si>
    <t>DO NOT REMOVE THIS ENTRY</t>
  </si>
  <si>
    <t>very low</t>
  </si>
  <si>
    <t>low</t>
  </si>
  <si>
    <t>high</t>
  </si>
  <si>
    <t>very high</t>
  </si>
  <si>
    <t>moderate</t>
  </si>
  <si>
    <t>800-30 Rubric Quantization</t>
  </si>
  <si>
    <t>Cybersecurity SME</t>
  </si>
  <si>
    <t>Likelihood Rubric</t>
  </si>
  <si>
    <t>Date</t>
  </si>
  <si>
    <t>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</si>
  <si>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</si>
  <si>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</si>
  <si>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</si>
  <si>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</si>
  <si>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</si>
  <si>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</si>
  <si>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</si>
  <si>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candidate ID</t>
  </si>
  <si>
    <t>DO NOT EDIT THIS PAGE</t>
  </si>
  <si>
    <t>template revision</t>
  </si>
  <si>
    <t>NIST SP 800-30</t>
  </si>
  <si>
    <t>NIST Guide to Conducting Risk Assessments</t>
  </si>
  <si>
    <t xml:space="preserve">https://nvlpubs.nist.gov/nistpubs/Legacy/SP/nistspecialpublication800-30r1.pdf </t>
  </si>
  <si>
    <t>Threat Candidate Slicing</t>
  </si>
  <si>
    <t>Impact Rubric</t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</si>
  <si>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Slicing Procedure </t>
    </r>
    <r>
      <rPr>
        <sz val="18"/>
        <color rgb="FF00B050"/>
        <rFont val="Arial"/>
        <family val="2"/>
      </rPr>
      <t>for instructions</t>
    </r>
  </si>
  <si>
    <t>Slicing</t>
  </si>
  <si>
    <t>uncontrolled</t>
  </si>
  <si>
    <t>yes</t>
  </si>
  <si>
    <t>no</t>
  </si>
  <si>
    <t>likelihood factor</t>
  </si>
  <si>
    <t>impact factor</t>
  </si>
  <si>
    <t>likelihood label</t>
  </si>
  <si>
    <t>impact label</t>
  </si>
  <si>
    <t>risk</t>
  </si>
  <si>
    <t>likelihood</t>
  </si>
  <si>
    <t>impact</t>
  </si>
  <si>
    <t>product</t>
  </si>
  <si>
    <r>
      <t xml:space="preserve">NOTE: The </t>
    </r>
    <r>
      <rPr>
        <sz val="13.25"/>
        <color rgb="FF0070C0"/>
        <rFont val="Arial"/>
        <family val="2"/>
      </rPr>
      <t>likelihood</t>
    </r>
    <r>
      <rPr>
        <sz val="13.25"/>
        <color rgb="FFFF0000"/>
        <rFont val="Arial"/>
        <family val="2"/>
      </rPr>
      <t xml:space="preserve"> and </t>
    </r>
    <r>
      <rPr>
        <sz val="13.25"/>
        <color rgb="FF0070C0"/>
        <rFont val="Arial"/>
        <family val="2"/>
      </rPr>
      <t>impact</t>
    </r>
    <r>
      <rPr>
        <sz val="13.25"/>
        <color rgb="FFFF0000"/>
        <rFont val="Arial"/>
        <family val="2"/>
      </rPr>
      <t xml:space="preserve"> columns auto populate the </t>
    </r>
    <r>
      <rPr>
        <sz val="13.25"/>
        <color rgb="FF00B0F0"/>
        <rFont val="Arial"/>
        <family val="2"/>
      </rPr>
      <t>product</t>
    </r>
    <r>
      <rPr>
        <sz val="13.25"/>
        <color rgb="FFFF0000"/>
        <rFont val="Arial"/>
        <family val="2"/>
      </rPr>
      <t xml:space="preserve"> and </t>
    </r>
    <r>
      <rPr>
        <sz val="13.25"/>
        <color rgb="FF0070C0"/>
        <rFont val="Arial"/>
        <family val="2"/>
      </rPr>
      <t>risk</t>
    </r>
    <r>
      <rPr>
        <sz val="13.25"/>
        <color rgb="FFFF0000"/>
        <rFont val="Arial"/>
        <family val="2"/>
      </rPr>
      <t xml:space="preserve"> columns.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</si>
</sst>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409]d\-mmm\-yyyy;@"/>
  </numFmts>
  <fonts count="27" x14ac:knownFonts="1">
    <font>
      <sz val="12"/>
      <color theme="1"/>
      <name val="Aptos Narrow"/>
      <family val="2"/>
      <scheme val="minor"/>
    </font>
    <font>
      <sz val="48"/>
      <color theme="1"/>
      <name val="Arial"/>
      <family val="2"/>
    </font>
    <font>
      <sz val="48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sz val="12"/>
      <color rgb="FF0070C0"/>
      <name val="Aptos Narrow"/>
      <family val="2"/>
      <scheme val="minor"/>
    </font>
    <font>
      <sz val="13.25"/>
      <color rgb="FFFF0000"/>
      <name val="Arial"/>
      <family val="2"/>
    </font>
    <font>
      <sz val="13.25"/>
      <color rgb="FF0070C0"/>
      <name val="Arial"/>
      <family val="2"/>
    </font>
    <font>
      <sz val="24"/>
      <name val="Arial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3.25"/>
      <color rgb="FF00B0F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20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3" applyNumberFormat="0" applyAlignment="0" applyProtection="0"/>
    <xf numFmtId="0" fontId="21" fillId="8" borderId="4" applyNumberFormat="0" applyFont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/>
    <xf numFmtId="164" fontId="7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/>
    <xf numFmtId="0" fontId="3" fillId="0" borderId="1" xfId="0" applyFont="1" applyBorder="1"/>
    <xf numFmtId="0" fontId="8" fillId="0" borderId="2" xfId="0" applyFont="1" applyBorder="1"/>
    <xf numFmtId="164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/>
    <xf numFmtId="49" fontId="7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/>
    <xf numFmtId="49" fontId="3" fillId="0" borderId="2" xfId="0" applyNumberFormat="1" applyFont="1" applyBorder="1" applyAlignment="1">
      <alignment vertical="top"/>
    </xf>
    <xf numFmtId="0" fontId="9" fillId="0" borderId="0" xfId="0" applyFont="1" applyAlignment="1">
      <alignment horizontal="right"/>
    </xf>
    <xf numFmtId="0" fontId="9" fillId="0" borderId="0" xfId="0" applyFont="1"/>
    <xf numFmtId="1" fontId="10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horizontal="right"/>
    </xf>
    <xf numFmtId="49" fontId="5" fillId="2" borderId="1" xfId="0" applyNumberFormat="1" applyFont="1" applyFill="1" applyBorder="1"/>
    <xf numFmtId="49" fontId="6" fillId="3" borderId="1" xfId="0" applyNumberFormat="1" applyFont="1" applyFill="1" applyBorder="1"/>
    <xf numFmtId="1" fontId="3" fillId="0" borderId="1" xfId="0" applyNumberFormat="1" applyFont="1" applyBorder="1" applyAlignment="1">
      <alignment horizontal="right"/>
    </xf>
    <xf numFmtId="49" fontId="8" fillId="0" borderId="2" xfId="0" applyNumberFormat="1" applyFont="1" applyBorder="1"/>
    <xf numFmtId="49" fontId="5" fillId="2" borderId="1" xfId="0" applyNumberFormat="1" applyFont="1" applyFill="1" applyBorder="1" applyAlignment="1">
      <alignment horizontal="left"/>
    </xf>
    <xf numFmtId="49" fontId="7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0" fontId="5" fillId="0" borderId="0" xfId="0" applyFont="1"/>
    <xf numFmtId="49" fontId="8" fillId="0" borderId="1" xfId="0" applyNumberFormat="1" applyFont="1" applyBorder="1" applyAlignment="1">
      <alignment vertical="top"/>
    </xf>
    <xf numFmtId="0" fontId="14" fillId="0" borderId="1" xfId="0" applyFont="1" applyBorder="1"/>
    <xf numFmtId="0" fontId="15" fillId="0" borderId="0" xfId="0" applyFont="1" applyAlignment="1">
      <alignment textRotation="45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6" fillId="0" borderId="1" xfId="0" applyFont="1" applyBorder="1"/>
    <xf numFmtId="164" fontId="7" fillId="0" borderId="1" xfId="0" applyNumberFormat="1" applyFont="1" applyBorder="1"/>
    <xf numFmtId="0" fontId="5" fillId="2" borderId="1" xfId="0" applyFont="1" applyFill="1" applyBorder="1" applyAlignment="1">
      <alignment horizontal="center" wrapText="1"/>
    </xf>
    <xf numFmtId="49" fontId="14" fillId="0" borderId="1" xfId="0" applyNumberFormat="1" applyFont="1" applyBorder="1" applyAlignment="1">
      <alignment horizontal="left"/>
    </xf>
    <xf numFmtId="49" fontId="14" fillId="0" borderId="1" xfId="0" applyNumberFormat="1" applyFont="1" applyBorder="1"/>
    <xf numFmtId="0" fontId="14" fillId="0" borderId="2" xfId="0" applyFont="1" applyBorder="1"/>
    <xf numFmtId="0" fontId="20" fillId="0" borderId="1" xfId="1" applyBorder="1" applyAlignment="1">
      <alignment horizontal="left" vertical="center" readingOrder="1"/>
    </xf>
    <xf numFmtId="49" fontId="3" fillId="0" borderId="2" xfId="0" applyNumberFormat="1" applyFont="1" applyBorder="1"/>
    <xf numFmtId="2" fontId="7" fillId="0" borderId="1" xfId="0" applyNumberFormat="1" applyFont="1" applyBorder="1" applyAlignment="1">
      <alignment vertical="top"/>
    </xf>
    <xf numFmtId="2" fontId="7" fillId="0" borderId="1" xfId="0" applyNumberFormat="1" applyFont="1" applyBorder="1"/>
    <xf numFmtId="2" fontId="7" fillId="0" borderId="1" xfId="0" applyNumberFormat="1" applyFont="1" applyBorder="1" applyAlignment="1">
      <alignment horizontal="right" vertical="top"/>
    </xf>
    <xf numFmtId="2" fontId="7" fillId="0" borderId="1" xfId="0" applyNumberFormat="1" applyFont="1" applyBorder="1" applyAlignment="1">
      <alignment horizontal="right"/>
    </xf>
    <xf numFmtId="0" fontId="17" fillId="0" borderId="0" xfId="0" applyFont="1"/>
    <xf numFmtId="0" fontId="22" fillId="4" borderId="1" xfId="2" applyBorder="1"/>
    <xf numFmtId="0" fontId="4" fillId="0" borderId="1" xfId="0" applyFont="1" applyBorder="1"/>
    <xf numFmtId="0" fontId="24" fillId="6" borderId="1" xfId="4" applyBorder="1"/>
    <xf numFmtId="0" fontId="21" fillId="9" borderId="1" xfId="7" applyBorder="1"/>
    <xf numFmtId="0" fontId="21" fillId="10" borderId="1" xfId="8" applyBorder="1"/>
    <xf numFmtId="0" fontId="24" fillId="8" borderId="4" xfId="6" applyFont="1"/>
    <xf numFmtId="0" fontId="25" fillId="7" borderId="3" xfId="5"/>
    <xf numFmtId="0" fontId="24" fillId="11" borderId="1" xfId="4" applyFill="1" applyBorder="1"/>
    <xf numFmtId="0" fontId="23" fillId="5" borderId="1" xfId="3" applyBorder="1"/>
    <xf numFmtId="2" fontId="24" fillId="6" borderId="1" xfId="4" applyNumberFormat="1" applyBorder="1"/>
    <xf numFmtId="2" fontId="0" fillId="0" borderId="1" xfId="0" applyNumberFormat="1" applyBorder="1"/>
    <xf numFmtId="0" fontId="13" fillId="3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2" fontId="16" fillId="0" borderId="1" xfId="0" applyNumberFormat="1" applyFont="1" applyBorder="1"/>
    <xf numFmtId="0" fontId="1" fillId="0" borderId="0" xfId="0" applyFont="1" applyAlignment="1">
      <alignment horizontal="center"/>
    </xf>
    <xf numFmtId="0" fontId="10" fillId="0" borderId="0" xfId="0" applyFont="1"/>
    <xf numFmtId="0" fontId="19" fillId="0" borderId="0" xfId="0" applyFont="1"/>
    <xf numFmtId="165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9">
    <cellStyle name="20% - Accent1" xfId="7" builtinId="30"/>
    <cellStyle name="20% - Accent3" xfId="8" builtinId="38"/>
    <cellStyle name="Bad" xfId="3" builtinId="27"/>
    <cellStyle name="Good" xfId="2" builtinId="26"/>
    <cellStyle name="Hyperlink" xfId="1" builtinId="8"/>
    <cellStyle name="Neutral" xfId="4" builtinId="28"/>
    <cellStyle name="Normal" xfId="0" builtinId="0"/>
    <cellStyle name="Note" xfId="6" builtinId="1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arles.wilson/Documents/projects/AVCDL/source/reference_documents/templates/AVCDL%20threat%20candidate%20ranking%20template.xlsx" TargetMode="External"/><Relationship Id="rId1" Type="http://schemas.openxmlformats.org/officeDocument/2006/relationships/externalLinkPath" Target="AVCDL%20threat%20candidate%20ranking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revision history"/>
      <sheetName val="references"/>
      <sheetName val="ranking"/>
      <sheetName val="rubric quantization"/>
      <sheetName val="domain quantization"/>
      <sheetName val="legend"/>
    </sheetNames>
    <sheetDataSet>
      <sheetData sheetId="0"/>
      <sheetData sheetId="1"/>
      <sheetData sheetId="2"/>
      <sheetData sheetId="3"/>
      <sheetData sheetId="4">
        <row r="5">
          <cell r="B5">
            <v>0</v>
          </cell>
        </row>
      </sheetData>
      <sheetData sheetId="5">
        <row r="5">
          <cell r="B5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vlpubs.nist.gov/nistpubs/Legacy/SP/nistspecialpublication800-30r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050B-FD70-B942-A662-9D05131E72F7}">
  <dimension ref="B2:K14"/>
  <sheetViews>
    <sheetView zoomScaleNormal="100" workbookViewId="0">
      <selection activeCell="N24" sqref="N24"/>
    </sheetView>
  </sheetViews>
  <sheetFormatPr baseColWidth="10" defaultRowHeight="16" x14ac:dyDescent="0.2"/>
  <cols>
    <col min="2" max="2" width="35.5" customWidth="1"/>
    <col min="3" max="3" width="2.6640625" customWidth="1"/>
  </cols>
  <sheetData>
    <row r="2" spans="2:11" ht="59" x14ac:dyDescent="0.55000000000000004">
      <c r="B2" s="75" t="s">
        <v>29</v>
      </c>
      <c r="C2" s="75"/>
      <c r="D2" s="75"/>
      <c r="E2" s="75"/>
      <c r="F2" s="75"/>
      <c r="G2" s="75"/>
      <c r="H2" s="75"/>
      <c r="I2" s="75"/>
      <c r="J2" s="75"/>
      <c r="K2" s="75"/>
    </row>
    <row r="3" spans="2:1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0" x14ac:dyDescent="0.3">
      <c r="B4" s="27" t="s">
        <v>12</v>
      </c>
      <c r="C4" s="28"/>
      <c r="D4" s="76" t="s">
        <v>12</v>
      </c>
      <c r="E4" s="76"/>
      <c r="F4" s="76"/>
      <c r="G4" s="76"/>
      <c r="H4" s="76"/>
      <c r="I4" s="76"/>
      <c r="J4" s="76"/>
      <c r="K4" s="2"/>
    </row>
    <row r="5" spans="2:1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30" x14ac:dyDescent="0.3">
      <c r="B6" s="27" t="s">
        <v>13</v>
      </c>
      <c r="C6" s="28"/>
      <c r="D6" s="77" t="s">
        <v>26</v>
      </c>
      <c r="E6" s="77"/>
      <c r="F6" s="77"/>
      <c r="G6" s="77"/>
      <c r="H6" s="77"/>
      <c r="I6" s="77"/>
      <c r="J6" s="77"/>
      <c r="K6" s="2"/>
    </row>
    <row r="7" spans="2:1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30" x14ac:dyDescent="0.3">
      <c r="B8" s="27" t="s">
        <v>30</v>
      </c>
      <c r="C8" s="28"/>
      <c r="D8" s="77" t="s">
        <v>26</v>
      </c>
      <c r="E8" s="77"/>
      <c r="F8" s="77"/>
      <c r="G8" s="77"/>
      <c r="H8" s="77"/>
      <c r="I8" s="77"/>
      <c r="J8" s="77"/>
      <c r="K8" s="2"/>
    </row>
    <row r="9" spans="2:1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30" x14ac:dyDescent="0.3">
      <c r="B10" s="27" t="s">
        <v>14</v>
      </c>
      <c r="C10" s="28"/>
      <c r="D10" s="78">
        <v>36765</v>
      </c>
      <c r="E10" s="78"/>
      <c r="F10" s="78"/>
      <c r="G10" s="78"/>
      <c r="H10" s="78"/>
      <c r="I10" s="78"/>
      <c r="J10" s="78"/>
      <c r="K10" s="2"/>
    </row>
    <row r="11" spans="2:1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ht="30" x14ac:dyDescent="0.3">
      <c r="B12" s="27" t="s">
        <v>15</v>
      </c>
      <c r="C12" s="28"/>
      <c r="D12" s="29">
        <v>1</v>
      </c>
      <c r="E12" s="2"/>
      <c r="F12" s="2"/>
      <c r="G12" s="2"/>
      <c r="H12" s="2"/>
      <c r="I12" s="2"/>
      <c r="J12" s="2"/>
      <c r="K12" s="2"/>
    </row>
    <row r="13" spans="2:11" ht="134" customHeight="1" x14ac:dyDescent="0.3">
      <c r="B13" s="28"/>
      <c r="C13" s="28"/>
      <c r="D13" s="28"/>
      <c r="E13" s="2"/>
      <c r="F13" s="2"/>
      <c r="G13" s="2"/>
      <c r="H13" s="2"/>
      <c r="I13" s="2"/>
      <c r="J13" s="2"/>
      <c r="K13" s="2"/>
    </row>
    <row r="14" spans="2:11" ht="23" x14ac:dyDescent="0.2">
      <c r="B14" s="79" t="s">
        <v>31</v>
      </c>
      <c r="C14" s="79"/>
      <c r="D14" s="79"/>
      <c r="E14" s="79"/>
      <c r="F14" s="79"/>
      <c r="G14" s="79"/>
      <c r="H14" s="79"/>
      <c r="I14" s="79"/>
      <c r="J14" s="79"/>
      <c r="K14" s="79"/>
    </row>
  </sheetData>
  <mergeCells count="6">
    <mergeCell ref="B2:K2"/>
    <mergeCell ref="D4:J4"/>
    <mergeCell ref="D6:J6"/>
    <mergeCell ref="D10:J10"/>
    <mergeCell ref="B14:K14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2" xr:uid="{56E00EA2-9E25-CB4B-BCFA-9455A2A0A57F}">
      <formula1>OR(AND(D12&gt;=1,D12&lt;=65535),D12="NO")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B203-2DF1-E443-A073-0A28A1893634}">
  <dimension ref="A2:G20"/>
  <sheetViews>
    <sheetView zoomScaleNormal="100" workbookViewId="0">
      <selection activeCell="F29" sqref="F29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80" t="s">
        <v>16</v>
      </c>
      <c r="C2" s="80"/>
      <c r="D2" s="80"/>
      <c r="E2" s="1"/>
      <c r="F2" s="1"/>
      <c r="G2" s="1"/>
    </row>
    <row r="3" spans="1:7" x14ac:dyDescent="0.2">
      <c r="B3" s="2"/>
      <c r="C3" s="2"/>
      <c r="D3" s="2"/>
    </row>
    <row r="4" spans="1:7" x14ac:dyDescent="0.2">
      <c r="A4" s="3"/>
      <c r="B4" s="30" t="s">
        <v>15</v>
      </c>
      <c r="C4" s="31" t="s">
        <v>17</v>
      </c>
      <c r="D4" s="32" t="s">
        <v>18</v>
      </c>
    </row>
    <row r="5" spans="1:7" x14ac:dyDescent="0.2">
      <c r="B5" s="33">
        <v>1</v>
      </c>
      <c r="C5" s="25"/>
      <c r="D5" s="34" t="s">
        <v>19</v>
      </c>
    </row>
    <row r="6" spans="1:7" x14ac:dyDescent="0.2">
      <c r="B6" s="33"/>
      <c r="C6" s="25"/>
      <c r="D6" s="34"/>
    </row>
    <row r="7" spans="1:7" x14ac:dyDescent="0.2">
      <c r="B7" s="33"/>
      <c r="C7" s="25"/>
      <c r="D7" s="34"/>
    </row>
    <row r="8" spans="1:7" x14ac:dyDescent="0.2">
      <c r="B8" s="33"/>
      <c r="C8" s="25"/>
      <c r="D8" s="34"/>
    </row>
    <row r="9" spans="1:7" x14ac:dyDescent="0.2">
      <c r="B9" s="33"/>
      <c r="C9" s="25"/>
      <c r="D9" s="34"/>
    </row>
    <row r="10" spans="1:7" x14ac:dyDescent="0.2">
      <c r="B10" s="33"/>
      <c r="C10" s="25"/>
      <c r="D10" s="34"/>
    </row>
    <row r="11" spans="1:7" x14ac:dyDescent="0.2">
      <c r="B11" s="33"/>
      <c r="C11" s="25"/>
      <c r="D11" s="34"/>
    </row>
    <row r="12" spans="1:7" x14ac:dyDescent="0.2">
      <c r="B12" s="33"/>
      <c r="C12" s="25"/>
      <c r="D12" s="34"/>
    </row>
    <row r="13" spans="1:7" x14ac:dyDescent="0.2">
      <c r="B13" s="33"/>
      <c r="C13" s="25"/>
      <c r="D13" s="34"/>
    </row>
    <row r="14" spans="1:7" x14ac:dyDescent="0.2">
      <c r="B14" s="33"/>
      <c r="C14" s="25"/>
      <c r="D14" s="34"/>
    </row>
    <row r="15" spans="1:7" x14ac:dyDescent="0.2">
      <c r="B15" s="33"/>
      <c r="C15" s="25"/>
      <c r="D15" s="34"/>
    </row>
    <row r="16" spans="1:7" x14ac:dyDescent="0.2">
      <c r="B16" s="33"/>
      <c r="C16" s="25"/>
      <c r="D16" s="34"/>
    </row>
    <row r="17" spans="2:4" x14ac:dyDescent="0.2">
      <c r="B17" s="33"/>
      <c r="C17" s="25"/>
      <c r="D17" s="34"/>
    </row>
    <row r="18" spans="2:4" x14ac:dyDescent="0.2">
      <c r="B18" s="33"/>
      <c r="C18" s="25"/>
      <c r="D18" s="34"/>
    </row>
    <row r="19" spans="2:4" x14ac:dyDescent="0.2">
      <c r="B19" s="33"/>
      <c r="C19" s="25"/>
      <c r="D19" s="34"/>
    </row>
    <row r="20" spans="2:4" x14ac:dyDescent="0.2">
      <c r="B20" s="33"/>
      <c r="C20" s="25"/>
      <c r="D20" s="34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6FD5-D8B1-EC4F-BDAE-10E2248F27CD}">
  <dimension ref="A2:G20"/>
  <sheetViews>
    <sheetView zoomScaleNormal="100" workbookViewId="0">
      <selection activeCell="H11" sqref="H11"/>
    </sheetView>
  </sheetViews>
  <sheetFormatPr baseColWidth="10" defaultRowHeight="16" x14ac:dyDescent="0.2"/>
  <cols>
    <col min="2" max="2" width="15.83203125" bestFit="1" customWidth="1"/>
    <col min="3" max="3" width="42.83203125" bestFit="1" customWidth="1"/>
    <col min="4" max="4" width="67.33203125" bestFit="1" customWidth="1"/>
  </cols>
  <sheetData>
    <row r="2" spans="1:7" ht="63" x14ac:dyDescent="0.75">
      <c r="B2" s="80" t="s">
        <v>20</v>
      </c>
      <c r="C2" s="80"/>
      <c r="D2" s="80"/>
      <c r="E2" s="1"/>
      <c r="F2" s="1"/>
      <c r="G2" s="1"/>
    </row>
    <row r="3" spans="1:7" x14ac:dyDescent="0.2">
      <c r="B3" s="2"/>
      <c r="C3" s="2"/>
      <c r="D3" s="2"/>
    </row>
    <row r="4" spans="1:7" x14ac:dyDescent="0.2">
      <c r="A4" s="3"/>
      <c r="B4" s="35" t="s">
        <v>21</v>
      </c>
      <c r="C4" s="31" t="s">
        <v>18</v>
      </c>
      <c r="D4" s="5" t="s">
        <v>22</v>
      </c>
    </row>
    <row r="5" spans="1:7" x14ac:dyDescent="0.2">
      <c r="B5" s="51" t="s">
        <v>26</v>
      </c>
      <c r="C5" s="52" t="s">
        <v>27</v>
      </c>
      <c r="D5" s="54" t="s">
        <v>28</v>
      </c>
    </row>
    <row r="6" spans="1:7" x14ac:dyDescent="0.2">
      <c r="B6" s="51"/>
      <c r="C6" s="52"/>
      <c r="D6" s="53"/>
    </row>
    <row r="7" spans="1:7" x14ac:dyDescent="0.2">
      <c r="B7" s="37"/>
      <c r="C7" s="25"/>
      <c r="D7" s="13"/>
    </row>
    <row r="8" spans="1:7" x14ac:dyDescent="0.2">
      <c r="B8" s="37"/>
      <c r="C8" s="25"/>
      <c r="D8" s="13"/>
    </row>
    <row r="9" spans="1:7" x14ac:dyDescent="0.2">
      <c r="B9" s="37"/>
      <c r="C9" s="25"/>
      <c r="D9" s="13"/>
    </row>
    <row r="10" spans="1:7" x14ac:dyDescent="0.2">
      <c r="B10" s="37"/>
      <c r="C10" s="25"/>
      <c r="D10" s="13"/>
    </row>
    <row r="11" spans="1:7" x14ac:dyDescent="0.2">
      <c r="B11" s="37"/>
      <c r="C11" s="25"/>
      <c r="D11" s="13"/>
    </row>
    <row r="12" spans="1:7" x14ac:dyDescent="0.2">
      <c r="B12" s="37"/>
      <c r="C12" s="25"/>
      <c r="D12" s="13"/>
    </row>
    <row r="13" spans="1:7" x14ac:dyDescent="0.2">
      <c r="B13" s="37"/>
      <c r="C13" s="25"/>
      <c r="D13" s="13"/>
    </row>
    <row r="14" spans="1:7" x14ac:dyDescent="0.2">
      <c r="B14" s="37"/>
      <c r="C14" s="25"/>
      <c r="D14" s="13"/>
    </row>
    <row r="15" spans="1:7" x14ac:dyDescent="0.2">
      <c r="B15" s="37"/>
      <c r="C15" s="25"/>
      <c r="D15" s="13"/>
    </row>
    <row r="16" spans="1:7" x14ac:dyDescent="0.2">
      <c r="B16" s="37"/>
      <c r="C16" s="25"/>
      <c r="D16" s="13"/>
    </row>
    <row r="17" spans="2:4" x14ac:dyDescent="0.2">
      <c r="B17" s="37"/>
      <c r="C17" s="25"/>
      <c r="D17" s="13"/>
    </row>
    <row r="18" spans="2:4" x14ac:dyDescent="0.2">
      <c r="B18" s="37"/>
      <c r="C18" s="25"/>
      <c r="D18" s="13"/>
    </row>
    <row r="19" spans="2:4" x14ac:dyDescent="0.2">
      <c r="B19" s="37"/>
      <c r="C19" s="25"/>
      <c r="D19" s="13"/>
    </row>
    <row r="20" spans="2:4" x14ac:dyDescent="0.2">
      <c r="B20" s="37"/>
      <c r="C20" s="25"/>
      <c r="D20" s="13"/>
    </row>
  </sheetData>
  <mergeCells count="1">
    <mergeCell ref="B2:D2"/>
  </mergeCells>
  <hyperlinks>
    <hyperlink ref="D5" r:id="rId1" display="https://nvlpubs.nist.gov/nistpubs/Legacy/SP/nistspecialpublication800-30r1.pdf" xr:uid="{FFD57B1D-BB6B-AA4C-BD34-8F18BC0C4C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CFCB-1E74-F849-8645-701B9B545C9B}">
  <dimension ref="A2:R43"/>
  <sheetViews>
    <sheetView tabSelected="1" zoomScaleNormal="100" workbookViewId="0">
      <pane ySplit="4" topLeftCell="A5" activePane="bottomLeft" state="frozen"/>
      <selection pane="bottomLeft" activeCell="K21" sqref="K21"/>
    </sheetView>
  </sheetViews>
  <sheetFormatPr baseColWidth="10" defaultRowHeight="16" x14ac:dyDescent="0.2"/>
  <cols>
    <col min="2" max="2" width="14.33203125" customWidth="1"/>
    <col min="3" max="3" width="10.5" bestFit="1" customWidth="1"/>
    <col min="4" max="4" width="9" bestFit="1" customWidth="1"/>
    <col min="5" max="5" width="8.5" bestFit="1" customWidth="1"/>
    <col min="6" max="6" width="9" bestFit="1" customWidth="1"/>
    <col min="7" max="7" width="14" customWidth="1"/>
    <col min="8" max="8" width="14.1640625" customWidth="1"/>
  </cols>
  <sheetData>
    <row r="2" spans="1:11" ht="63" x14ac:dyDescent="0.75">
      <c r="B2" s="80" t="s">
        <v>32</v>
      </c>
      <c r="C2" s="80"/>
      <c r="D2" s="80"/>
      <c r="E2" s="80"/>
      <c r="F2" s="80"/>
      <c r="G2" s="80"/>
      <c r="H2" s="80"/>
      <c r="I2" s="1"/>
      <c r="J2" s="1"/>
      <c r="K2" s="1"/>
    </row>
    <row r="3" spans="1:11" x14ac:dyDescent="0.2">
      <c r="B3" s="2"/>
      <c r="C3" s="2"/>
      <c r="D3" s="2"/>
      <c r="E3" s="2"/>
      <c r="F3" s="2"/>
      <c r="G3" s="2"/>
      <c r="H3" s="2"/>
    </row>
    <row r="4" spans="1:11" ht="17" x14ac:dyDescent="0.2">
      <c r="A4" s="3"/>
      <c r="B4" s="73" t="s">
        <v>23</v>
      </c>
      <c r="C4" s="38" t="s">
        <v>41</v>
      </c>
      <c r="D4" s="72" t="s">
        <v>42</v>
      </c>
      <c r="E4" s="72" t="s">
        <v>43</v>
      </c>
      <c r="F4" s="72" t="s">
        <v>40</v>
      </c>
      <c r="G4" s="72" t="s">
        <v>33</v>
      </c>
      <c r="H4" s="5" t="s">
        <v>2</v>
      </c>
    </row>
    <row r="5" spans="1:11" x14ac:dyDescent="0.2">
      <c r="B5" s="12"/>
      <c r="C5" s="20" t="s">
        <v>3</v>
      </c>
      <c r="D5" s="20" t="s">
        <v>3</v>
      </c>
      <c r="E5" s="74">
        <f>VLOOKUP(C5,[0]!likelihood_start:likelihood_end,2,FALSE) * VLOOKUP(D5,[0]!impact_start:impact_end,2,FALSE)</f>
        <v>0</v>
      </c>
      <c r="F5" s="48" t="str">
        <f>VLOOKUP(E5,[0]!RQ_start_800:RQ_end_800,2,TRUE)</f>
        <v>none</v>
      </c>
      <c r="G5" s="48"/>
      <c r="H5" s="39"/>
    </row>
    <row r="6" spans="1:11" x14ac:dyDescent="0.2">
      <c r="B6" s="12"/>
      <c r="C6" s="20" t="s">
        <v>3</v>
      </c>
      <c r="D6" s="20" t="s">
        <v>3</v>
      </c>
      <c r="E6" s="74">
        <f>VLOOKUP(C6,[0]!likelihood_start:likelihood_end,2,FALSE) * VLOOKUP(D6,[0]!impact_start:impact_end,2,FALSE)</f>
        <v>0</v>
      </c>
      <c r="F6" s="48" t="str">
        <f>VLOOKUP(E6,[0]!RQ_start_800:RQ_end_800,2,TRUE)</f>
        <v>none</v>
      </c>
      <c r="G6" s="48"/>
      <c r="H6" s="39"/>
    </row>
    <row r="7" spans="1:11" x14ac:dyDescent="0.2">
      <c r="B7" s="40"/>
      <c r="C7" s="20" t="s">
        <v>3</v>
      </c>
      <c r="D7" s="20" t="s">
        <v>3</v>
      </c>
      <c r="E7" s="74">
        <f>VLOOKUP(C7,[0]!likelihood_start:likelihood_end,2,FALSE) * VLOOKUP(D7,[0]!impact_start:impact_end,2,FALSE)</f>
        <v>0</v>
      </c>
      <c r="F7" s="48" t="str">
        <f>VLOOKUP(E7,[0]!RQ_start_800:RQ_end_800,2,TRUE)</f>
        <v>none</v>
      </c>
      <c r="G7" s="48"/>
      <c r="H7" s="41"/>
    </row>
    <row r="8" spans="1:11" x14ac:dyDescent="0.2">
      <c r="B8" s="40"/>
      <c r="C8" s="20" t="s">
        <v>3</v>
      </c>
      <c r="D8" s="20" t="s">
        <v>3</v>
      </c>
      <c r="E8" s="74">
        <f>VLOOKUP(C8,[0]!likelihood_start:likelihood_end,2,FALSE) * VLOOKUP(D8,[0]!impact_start:impact_end,2,FALSE)</f>
        <v>0</v>
      </c>
      <c r="F8" s="48" t="str">
        <f>VLOOKUP(E8,[0]!RQ_start_800:RQ_end_800,2,TRUE)</f>
        <v>none</v>
      </c>
      <c r="G8" s="48"/>
      <c r="H8" s="41"/>
    </row>
    <row r="9" spans="1:11" x14ac:dyDescent="0.2">
      <c r="B9" s="40"/>
      <c r="C9" s="20" t="s">
        <v>3</v>
      </c>
      <c r="D9" s="20" t="s">
        <v>3</v>
      </c>
      <c r="E9" s="74">
        <f>VLOOKUP(C9,[0]!likelihood_start:likelihood_end,2,FALSE) * VLOOKUP(D9,[0]!impact_start:impact_end,2,FALSE)</f>
        <v>0</v>
      </c>
      <c r="F9" s="48" t="str">
        <f>VLOOKUP(E9,[0]!RQ_start_800:RQ_end_800,2,TRUE)</f>
        <v>none</v>
      </c>
      <c r="G9" s="48"/>
      <c r="H9" s="41"/>
    </row>
    <row r="10" spans="1:11" x14ac:dyDescent="0.2">
      <c r="B10" s="40"/>
      <c r="C10" s="20" t="s">
        <v>3</v>
      </c>
      <c r="D10" s="20" t="s">
        <v>3</v>
      </c>
      <c r="E10" s="74">
        <f>VLOOKUP(C10,[0]!likelihood_start:likelihood_end,2,FALSE) * VLOOKUP(D10,[0]!impact_start:impact_end,2,FALSE)</f>
        <v>0</v>
      </c>
      <c r="F10" s="48" t="str">
        <f>VLOOKUP(E10,[0]!RQ_start_800:RQ_end_800,2,TRUE)</f>
        <v>none</v>
      </c>
      <c r="G10" s="48"/>
      <c r="H10" s="41"/>
    </row>
    <row r="11" spans="1:11" x14ac:dyDescent="0.2">
      <c r="B11" s="40"/>
      <c r="C11" s="20" t="s">
        <v>3</v>
      </c>
      <c r="D11" s="20" t="s">
        <v>3</v>
      </c>
      <c r="E11" s="74">
        <f>VLOOKUP(C11,[0]!likelihood_start:likelihood_end,2,FALSE) * VLOOKUP(D11,[0]!impact_start:impact_end,2,FALSE)</f>
        <v>0</v>
      </c>
      <c r="F11" s="48" t="str">
        <f>VLOOKUP(E11,[0]!RQ_start_800:RQ_end_800,2,TRUE)</f>
        <v>none</v>
      </c>
      <c r="G11" s="48"/>
      <c r="H11" s="41"/>
    </row>
    <row r="12" spans="1:11" x14ac:dyDescent="0.2">
      <c r="B12" s="40"/>
      <c r="C12" s="20" t="s">
        <v>3</v>
      </c>
      <c r="D12" s="20" t="s">
        <v>3</v>
      </c>
      <c r="E12" s="74">
        <f>VLOOKUP(C12,[0]!likelihood_start:likelihood_end,2,FALSE) * VLOOKUP(D12,[0]!impact_start:impact_end,2,FALSE)</f>
        <v>0</v>
      </c>
      <c r="F12" s="48" t="str">
        <f>VLOOKUP(E12,[0]!RQ_start_800:RQ_end_800,2,TRUE)</f>
        <v>none</v>
      </c>
      <c r="G12" s="48"/>
      <c r="H12" s="41"/>
    </row>
    <row r="13" spans="1:11" x14ac:dyDescent="0.2">
      <c r="B13" s="40"/>
      <c r="C13" s="20" t="s">
        <v>3</v>
      </c>
      <c r="D13" s="20" t="s">
        <v>3</v>
      </c>
      <c r="E13" s="74">
        <f>VLOOKUP(C13,[0]!likelihood_start:likelihood_end,2,FALSE) * VLOOKUP(D13,[0]!impact_start:impact_end,2,FALSE)</f>
        <v>0</v>
      </c>
      <c r="F13" s="48" t="str">
        <f>VLOOKUP(E13,[0]!RQ_start_800:RQ_end_800,2,TRUE)</f>
        <v>none</v>
      </c>
      <c r="G13" s="48"/>
      <c r="H13" s="41"/>
    </row>
    <row r="14" spans="1:11" x14ac:dyDescent="0.2">
      <c r="B14" s="40"/>
      <c r="C14" s="20" t="s">
        <v>3</v>
      </c>
      <c r="D14" s="20" t="s">
        <v>3</v>
      </c>
      <c r="E14" s="74">
        <f>VLOOKUP(C14,[0]!likelihood_start:likelihood_end,2,FALSE) * VLOOKUP(D14,[0]!impact_start:impact_end,2,FALSE)</f>
        <v>0</v>
      </c>
      <c r="F14" s="48" t="str">
        <f>VLOOKUP(E14,[0]!RQ_start_800:RQ_end_800,2,TRUE)</f>
        <v>none</v>
      </c>
      <c r="G14" s="48"/>
      <c r="H14" s="41"/>
    </row>
    <row r="15" spans="1:11" x14ac:dyDescent="0.2">
      <c r="B15" s="40"/>
      <c r="C15" s="20" t="s">
        <v>3</v>
      </c>
      <c r="D15" s="20" t="s">
        <v>3</v>
      </c>
      <c r="E15" s="74">
        <f>VLOOKUP(C15,[0]!likelihood_start:likelihood_end,2,FALSE) * VLOOKUP(D15,[0]!impact_start:impact_end,2,FALSE)</f>
        <v>0</v>
      </c>
      <c r="F15" s="48" t="str">
        <f>VLOOKUP(E15,[0]!RQ_start_800:RQ_end_800,2,TRUE)</f>
        <v>none</v>
      </c>
      <c r="G15" s="48"/>
      <c r="H15" s="41"/>
    </row>
    <row r="16" spans="1:11" x14ac:dyDescent="0.2">
      <c r="B16" s="40"/>
      <c r="C16" s="20" t="s">
        <v>3</v>
      </c>
      <c r="D16" s="20" t="s">
        <v>3</v>
      </c>
      <c r="E16" s="74">
        <f>VLOOKUP(C16,[0]!likelihood_start:likelihood_end,2,FALSE) * VLOOKUP(D16,[0]!impact_start:impact_end,2,FALSE)</f>
        <v>0</v>
      </c>
      <c r="F16" s="48" t="str">
        <f>VLOOKUP(E16,[0]!RQ_start_800:RQ_end_800,2,TRUE)</f>
        <v>none</v>
      </c>
      <c r="G16" s="48"/>
      <c r="H16" s="41"/>
    </row>
    <row r="17" spans="2:8" x14ac:dyDescent="0.2">
      <c r="B17" s="40"/>
      <c r="C17" s="20" t="s">
        <v>3</v>
      </c>
      <c r="D17" s="20" t="s">
        <v>3</v>
      </c>
      <c r="E17" s="74">
        <f>VLOOKUP(C17,[0]!likelihood_start:likelihood_end,2,FALSE) * VLOOKUP(D17,[0]!impact_start:impact_end,2,FALSE)</f>
        <v>0</v>
      </c>
      <c r="F17" s="48" t="str">
        <f>VLOOKUP(E17,[0]!RQ_start_800:RQ_end_800,2,TRUE)</f>
        <v>none</v>
      </c>
      <c r="G17" s="48"/>
      <c r="H17" s="41"/>
    </row>
    <row r="18" spans="2:8" x14ac:dyDescent="0.2">
      <c r="B18" s="40"/>
      <c r="C18" s="20" t="s">
        <v>3</v>
      </c>
      <c r="D18" s="20" t="s">
        <v>3</v>
      </c>
      <c r="E18" s="74">
        <f>VLOOKUP(C18,[0]!likelihood_start:likelihood_end,2,FALSE) * VLOOKUP(D18,[0]!impact_start:impact_end,2,FALSE)</f>
        <v>0</v>
      </c>
      <c r="F18" s="48" t="str">
        <f>VLOOKUP(E18,[0]!RQ_start_800:RQ_end_800,2,TRUE)</f>
        <v>none</v>
      </c>
      <c r="G18" s="48"/>
      <c r="H18" s="41"/>
    </row>
    <row r="19" spans="2:8" x14ac:dyDescent="0.2">
      <c r="B19" s="40"/>
      <c r="C19" s="20" t="s">
        <v>3</v>
      </c>
      <c r="D19" s="20" t="s">
        <v>3</v>
      </c>
      <c r="E19" s="74">
        <f>VLOOKUP(C19,[0]!likelihood_start:likelihood_end,2,FALSE) * VLOOKUP(D19,[0]!impact_start:impact_end,2,FALSE)</f>
        <v>0</v>
      </c>
      <c r="F19" s="48" t="str">
        <f>VLOOKUP(E19,[0]!RQ_start_800:RQ_end_800,2,TRUE)</f>
        <v>none</v>
      </c>
      <c r="G19" s="48"/>
      <c r="H19" s="41"/>
    </row>
    <row r="20" spans="2:8" x14ac:dyDescent="0.2">
      <c r="B20" s="40"/>
      <c r="C20" s="20" t="s">
        <v>3</v>
      </c>
      <c r="D20" s="20" t="s">
        <v>3</v>
      </c>
      <c r="E20" s="74">
        <f>VLOOKUP(C20,[0]!likelihood_start:likelihood_end,2,FALSE) * VLOOKUP(D20,[0]!impact_start:impact_end,2,FALSE)</f>
        <v>0</v>
      </c>
      <c r="F20" s="48" t="str">
        <f>VLOOKUP(E20,[0]!RQ_start_800:RQ_end_800,2,TRUE)</f>
        <v>none</v>
      </c>
      <c r="G20" s="48"/>
      <c r="H20" s="41"/>
    </row>
    <row r="21" spans="2:8" x14ac:dyDescent="0.2">
      <c r="B21" s="2"/>
      <c r="C21" s="2"/>
      <c r="D21" s="2"/>
      <c r="E21" s="2"/>
      <c r="F21" s="2"/>
      <c r="G21" s="2"/>
      <c r="H21" s="2"/>
    </row>
    <row r="22" spans="2:8" x14ac:dyDescent="0.2">
      <c r="B22" s="2"/>
      <c r="C22" s="2"/>
      <c r="D22" s="2"/>
      <c r="E22" s="2"/>
      <c r="F22" s="2"/>
      <c r="G22" s="2"/>
      <c r="H22" s="2"/>
    </row>
    <row r="23" spans="2:8" x14ac:dyDescent="0.2">
      <c r="B23" s="2"/>
      <c r="C23" s="2"/>
      <c r="D23" s="2"/>
      <c r="E23" s="2"/>
      <c r="F23" s="2"/>
      <c r="G23" s="2"/>
      <c r="H23" s="2"/>
    </row>
    <row r="24" spans="2:8" x14ac:dyDescent="0.2">
      <c r="B24" s="2"/>
      <c r="C24" s="2"/>
      <c r="D24" s="2"/>
      <c r="E24" s="2"/>
      <c r="F24" s="2"/>
      <c r="G24" s="2"/>
      <c r="H24" s="2"/>
    </row>
    <row r="25" spans="2:8" x14ac:dyDescent="0.2">
      <c r="B25" s="2"/>
      <c r="C25" s="2"/>
      <c r="D25" s="2"/>
      <c r="E25" s="2"/>
      <c r="F25" s="2"/>
      <c r="G25" s="2"/>
      <c r="H25" s="2"/>
    </row>
    <row r="26" spans="2:8" x14ac:dyDescent="0.2">
      <c r="B26" s="2"/>
      <c r="C26" s="2"/>
      <c r="D26" s="2"/>
      <c r="E26" s="2"/>
      <c r="F26" s="2"/>
      <c r="G26" s="2"/>
      <c r="H26" s="2"/>
    </row>
    <row r="27" spans="2:8" x14ac:dyDescent="0.2">
      <c r="B27" s="2"/>
      <c r="C27" s="2"/>
      <c r="D27" s="2"/>
      <c r="E27" s="2"/>
      <c r="F27" s="2"/>
      <c r="G27" s="2"/>
      <c r="H27" s="2"/>
    </row>
    <row r="28" spans="2:8" x14ac:dyDescent="0.2">
      <c r="B28" s="2"/>
      <c r="C28" s="2"/>
      <c r="D28" s="2"/>
      <c r="E28" s="2"/>
      <c r="F28" s="2"/>
      <c r="G28" s="2"/>
      <c r="H28" s="2"/>
    </row>
    <row r="29" spans="2:8" ht="17" x14ac:dyDescent="0.2">
      <c r="B29" s="60" t="s">
        <v>44</v>
      </c>
      <c r="C29" s="60"/>
      <c r="D29" s="60"/>
      <c r="E29" s="60"/>
      <c r="F29" s="60"/>
      <c r="G29" s="60"/>
      <c r="H29" s="60"/>
    </row>
    <row r="30" spans="2:8" x14ac:dyDescent="0.2">
      <c r="B30" s="2"/>
      <c r="C30" s="2"/>
      <c r="D30" s="2"/>
      <c r="E30" s="2"/>
      <c r="F30" s="2"/>
      <c r="G30" s="2"/>
      <c r="H30" s="2"/>
    </row>
    <row r="31" spans="2:8" x14ac:dyDescent="0.2">
      <c r="B31" s="2"/>
      <c r="C31" s="2"/>
      <c r="D31" s="2"/>
      <c r="E31" s="2"/>
      <c r="F31" s="2"/>
      <c r="G31" s="2"/>
      <c r="H31" s="2"/>
    </row>
    <row r="32" spans="2:8" x14ac:dyDescent="0.2">
      <c r="B32" s="2"/>
      <c r="C32" s="2"/>
      <c r="D32" s="2"/>
      <c r="E32" s="2"/>
      <c r="F32" s="2"/>
      <c r="G32" s="2"/>
      <c r="H32" s="2"/>
    </row>
    <row r="33" spans="2:18" x14ac:dyDescent="0.2">
      <c r="B33" s="2"/>
      <c r="C33" s="2"/>
      <c r="D33" s="2"/>
      <c r="E33" s="2"/>
      <c r="F33" s="2"/>
      <c r="G33" s="2"/>
      <c r="H33" s="2"/>
    </row>
    <row r="34" spans="2:18" x14ac:dyDescent="0.2">
      <c r="B34" s="2"/>
      <c r="C34" s="2"/>
      <c r="D34" s="2"/>
      <c r="E34" s="2"/>
      <c r="F34" s="2"/>
      <c r="G34" s="2"/>
      <c r="H34" s="2"/>
      <c r="R34" s="48"/>
    </row>
    <row r="35" spans="2:18" x14ac:dyDescent="0.2">
      <c r="B35" s="2"/>
      <c r="C35" s="2"/>
      <c r="D35" s="2"/>
      <c r="E35" s="2"/>
      <c r="F35" s="2"/>
      <c r="G35" s="2"/>
      <c r="H35" s="2"/>
    </row>
    <row r="36" spans="2:18" x14ac:dyDescent="0.2">
      <c r="B36" s="2"/>
      <c r="C36" s="2"/>
      <c r="D36" s="2"/>
      <c r="E36" s="2"/>
      <c r="F36" s="2"/>
      <c r="G36" s="2"/>
      <c r="H36" s="2"/>
    </row>
    <row r="37" spans="2:18" x14ac:dyDescent="0.2">
      <c r="B37" s="2"/>
      <c r="C37" s="2"/>
      <c r="D37" s="2"/>
      <c r="E37" s="2"/>
      <c r="F37" s="2"/>
      <c r="G37" s="2"/>
      <c r="H37" s="2"/>
    </row>
    <row r="38" spans="2:18" x14ac:dyDescent="0.2">
      <c r="B38" s="2"/>
      <c r="C38" s="2"/>
      <c r="D38" s="2"/>
      <c r="E38" s="2"/>
      <c r="F38" s="2"/>
      <c r="G38" s="2"/>
      <c r="H38" s="2"/>
    </row>
    <row r="39" spans="2:18" x14ac:dyDescent="0.2">
      <c r="B39" s="2"/>
      <c r="C39" s="2"/>
      <c r="D39" s="2"/>
      <c r="E39" s="2"/>
      <c r="F39" s="2"/>
      <c r="G39" s="2"/>
      <c r="H39" s="2"/>
    </row>
    <row r="40" spans="2:18" x14ac:dyDescent="0.2">
      <c r="B40" s="2"/>
      <c r="C40" s="2"/>
      <c r="D40" s="2"/>
      <c r="E40" s="2"/>
      <c r="F40" s="2"/>
      <c r="G40" s="2"/>
      <c r="H40" s="2"/>
    </row>
    <row r="41" spans="2:18" x14ac:dyDescent="0.2">
      <c r="B41" s="2"/>
      <c r="C41" s="2"/>
      <c r="D41" s="2"/>
      <c r="E41" s="2"/>
      <c r="F41" s="2"/>
      <c r="G41" s="2"/>
      <c r="H41" s="2"/>
    </row>
    <row r="42" spans="2:18" x14ac:dyDescent="0.2">
      <c r="B42" s="2"/>
      <c r="C42" s="2"/>
      <c r="D42" s="2"/>
      <c r="E42" s="2"/>
      <c r="F42" s="2"/>
      <c r="G42" s="2"/>
      <c r="H42" s="2"/>
    </row>
    <row r="43" spans="2:18" x14ac:dyDescent="0.2">
      <c r="B43" s="2"/>
      <c r="C43" s="2"/>
      <c r="D43" s="2"/>
      <c r="E43" s="2"/>
      <c r="F43" s="2"/>
      <c r="G43" s="2"/>
      <c r="H43" s="2"/>
    </row>
  </sheetData>
  <dataConsolidate/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85EACC-25B6-7246-84A1-E3BCF6257F68}">
          <x14:formula1>
            <xm:f>'800-30 quantization'!$C$5:$C$20</xm:f>
          </x14:formula1>
          <xm:sqref>C5:D20</xm:sqref>
        </x14:dataValidation>
        <x14:dataValidation type="list" allowBlank="1" showInputMessage="1" showErrorMessage="1" xr:uid="{ACCDD75A-DEC3-2B4F-BDF5-0B5D8406A0DC}">
          <x14:formula1>
            <xm:f>legend!$A$2:$A$3</xm:f>
          </x14:formula1>
          <xm:sqref>G5:G20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4D78-4D37-AB43-88FD-7CB3686B635F}">
  <dimension ref="A2:I24"/>
  <sheetViews>
    <sheetView zoomScaleNormal="100" workbookViewId="0">
      <selection activeCell="B2" sqref="B2:H2"/>
    </sheetView>
  </sheetViews>
  <sheetFormatPr baseColWidth="10" defaultRowHeight="16" x14ac:dyDescent="0.2"/>
  <cols>
    <col min="2" max="2" width="10.33203125" bestFit="1" customWidth="1"/>
    <col min="3" max="3" width="10.6640625" customWidth="1"/>
    <col min="4" max="4" width="10.83203125" customWidth="1"/>
    <col min="5" max="5" width="9.83203125" bestFit="1" customWidth="1"/>
    <col min="6" max="6" width="9.33203125" customWidth="1"/>
    <col min="7" max="7" width="32.5" customWidth="1"/>
    <col min="8" max="8" width="39.83203125" customWidth="1"/>
  </cols>
  <sheetData>
    <row r="2" spans="1:9" ht="63" x14ac:dyDescent="0.75">
      <c r="B2" s="80" t="s">
        <v>11</v>
      </c>
      <c r="C2" s="80"/>
      <c r="D2" s="80"/>
      <c r="E2" s="80"/>
      <c r="F2" s="80"/>
      <c r="G2" s="80"/>
      <c r="H2" s="80"/>
      <c r="I2" s="1"/>
    </row>
    <row r="3" spans="1:9" x14ac:dyDescent="0.2">
      <c r="B3" s="2"/>
      <c r="C3" s="2"/>
      <c r="D3" s="2"/>
      <c r="E3" s="2"/>
      <c r="F3" s="2"/>
      <c r="G3" s="2"/>
      <c r="H3" s="2"/>
    </row>
    <row r="4" spans="1:9" ht="34" x14ac:dyDescent="0.2">
      <c r="A4" s="3"/>
      <c r="B4" s="4" t="s">
        <v>0</v>
      </c>
      <c r="C4" s="50" t="s">
        <v>38</v>
      </c>
      <c r="D4" s="50" t="s">
        <v>36</v>
      </c>
      <c r="E4" s="50" t="s">
        <v>39</v>
      </c>
      <c r="F4" s="19" t="s">
        <v>37</v>
      </c>
      <c r="G4" s="5" t="s">
        <v>1</v>
      </c>
      <c r="H4" s="5" t="s">
        <v>2</v>
      </c>
    </row>
    <row r="5" spans="1:9" ht="17" x14ac:dyDescent="0.2">
      <c r="B5" s="6">
        <v>0</v>
      </c>
      <c r="C5" s="23" t="s">
        <v>3</v>
      </c>
      <c r="D5" s="58">
        <v>0</v>
      </c>
      <c r="E5" s="23" t="s">
        <v>3</v>
      </c>
      <c r="F5" s="56">
        <v>0</v>
      </c>
      <c r="G5" s="7" t="s">
        <v>4</v>
      </c>
      <c r="H5" s="7" t="s">
        <v>5</v>
      </c>
    </row>
    <row r="6" spans="1:9" x14ac:dyDescent="0.2">
      <c r="B6" s="6">
        <v>1E-4</v>
      </c>
      <c r="C6" s="23" t="s">
        <v>6</v>
      </c>
      <c r="D6" s="58">
        <v>3</v>
      </c>
      <c r="E6" s="23" t="s">
        <v>6</v>
      </c>
      <c r="F6" s="57">
        <v>0.4</v>
      </c>
      <c r="G6" s="21"/>
      <c r="H6" s="9"/>
    </row>
    <row r="7" spans="1:9" x14ac:dyDescent="0.2">
      <c r="B7" s="6">
        <v>20</v>
      </c>
      <c r="C7" s="23" t="s">
        <v>7</v>
      </c>
      <c r="D7" s="58">
        <v>5</v>
      </c>
      <c r="E7" s="23" t="s">
        <v>7</v>
      </c>
      <c r="F7" s="57">
        <v>4.5</v>
      </c>
      <c r="G7" s="21"/>
      <c r="H7" s="9"/>
    </row>
    <row r="8" spans="1:9" x14ac:dyDescent="0.2">
      <c r="B8" s="6">
        <v>50</v>
      </c>
      <c r="C8" s="23" t="s">
        <v>10</v>
      </c>
      <c r="D8" s="58">
        <v>8</v>
      </c>
      <c r="E8" s="23" t="s">
        <v>10</v>
      </c>
      <c r="F8" s="57">
        <v>6.5</v>
      </c>
      <c r="G8" s="21"/>
      <c r="H8" s="9"/>
    </row>
    <row r="9" spans="1:9" x14ac:dyDescent="0.2">
      <c r="B9" s="6">
        <v>80</v>
      </c>
      <c r="C9" s="23" t="s">
        <v>8</v>
      </c>
      <c r="D9" s="58">
        <v>9.6</v>
      </c>
      <c r="E9" s="23" t="s">
        <v>8</v>
      </c>
      <c r="F9" s="57">
        <v>8.35</v>
      </c>
      <c r="G9" s="21"/>
      <c r="H9" s="9"/>
    </row>
    <row r="10" spans="1:9" x14ac:dyDescent="0.2">
      <c r="B10" s="49">
        <v>95</v>
      </c>
      <c r="C10" s="36" t="s">
        <v>9</v>
      </c>
      <c r="D10" s="59">
        <v>10</v>
      </c>
      <c r="E10" s="36" t="s">
        <v>9</v>
      </c>
      <c r="F10" s="57">
        <v>10</v>
      </c>
      <c r="G10" s="22"/>
      <c r="H10" s="12"/>
    </row>
    <row r="11" spans="1:9" x14ac:dyDescent="0.2">
      <c r="B11" s="11"/>
      <c r="C11" s="25"/>
      <c r="D11" s="25"/>
      <c r="E11" s="25"/>
      <c r="F11" s="12"/>
      <c r="G11" s="22"/>
      <c r="H11" s="12"/>
    </row>
    <row r="12" spans="1:9" x14ac:dyDescent="0.2">
      <c r="B12" s="11"/>
      <c r="C12" s="25"/>
      <c r="D12" s="55"/>
      <c r="E12" s="25"/>
      <c r="F12" s="17"/>
      <c r="G12" s="13"/>
      <c r="H12" s="12"/>
    </row>
    <row r="13" spans="1:9" x14ac:dyDescent="0.2">
      <c r="B13" s="11"/>
      <c r="C13" s="25"/>
      <c r="D13" s="25"/>
      <c r="E13" s="25"/>
      <c r="F13" s="12"/>
      <c r="G13" s="12"/>
      <c r="H13" s="12"/>
    </row>
    <row r="14" spans="1:9" x14ac:dyDescent="0.2">
      <c r="B14" s="11"/>
      <c r="C14" s="25"/>
      <c r="D14" s="25"/>
      <c r="E14" s="25"/>
      <c r="F14" s="12"/>
      <c r="G14" s="12"/>
      <c r="H14" s="12"/>
    </row>
    <row r="15" spans="1:9" x14ac:dyDescent="0.2">
      <c r="B15" s="11"/>
      <c r="C15" s="25"/>
      <c r="D15" s="25"/>
      <c r="E15" s="25"/>
      <c r="F15" s="12"/>
      <c r="G15" s="12"/>
      <c r="H15" s="12"/>
    </row>
    <row r="16" spans="1:9" x14ac:dyDescent="0.2">
      <c r="B16" s="11"/>
      <c r="C16" s="25"/>
      <c r="D16" s="25"/>
      <c r="E16" s="25"/>
      <c r="F16" s="12"/>
      <c r="G16" s="12"/>
      <c r="H16" s="12"/>
    </row>
    <row r="17" spans="2:8" x14ac:dyDescent="0.2">
      <c r="B17" s="11"/>
      <c r="C17" s="25"/>
      <c r="D17" s="25"/>
      <c r="E17" s="25"/>
      <c r="F17" s="12"/>
      <c r="G17" s="12"/>
      <c r="H17" s="12"/>
    </row>
    <row r="18" spans="2:8" x14ac:dyDescent="0.2">
      <c r="B18" s="14"/>
      <c r="C18" s="26"/>
      <c r="D18" s="26"/>
      <c r="E18" s="26"/>
      <c r="F18" s="15"/>
      <c r="G18" s="8"/>
      <c r="H18" s="16"/>
    </row>
    <row r="19" spans="2:8" x14ac:dyDescent="0.2">
      <c r="B19" s="10"/>
      <c r="C19" s="24"/>
      <c r="D19" s="26"/>
      <c r="E19" s="24"/>
      <c r="F19" s="15"/>
      <c r="G19" s="8"/>
      <c r="H19" s="9"/>
    </row>
    <row r="20" spans="2:8" x14ac:dyDescent="0.2">
      <c r="B20" s="10"/>
      <c r="C20" s="24"/>
      <c r="D20" s="26"/>
      <c r="E20" s="24"/>
      <c r="F20" s="15"/>
      <c r="G20" s="8"/>
      <c r="H20" s="9"/>
    </row>
    <row r="24" spans="2:8" ht="386" x14ac:dyDescent="0.2">
      <c r="B24" s="45" t="s">
        <v>24</v>
      </c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F58F-F330-ED4C-B312-2D2D7DD832ED}">
  <dimension ref="A1:H29"/>
  <sheetViews>
    <sheetView zoomScaleNormal="100" workbookViewId="0">
      <selection activeCell="R25" sqref="R25"/>
    </sheetView>
  </sheetViews>
  <sheetFormatPr baseColWidth="10" defaultRowHeight="16" x14ac:dyDescent="0.2"/>
  <cols>
    <col min="1" max="1" width="13.5" style="2" customWidth="1"/>
    <col min="2" max="2" width="13.33203125" style="2" bestFit="1" customWidth="1"/>
    <col min="3" max="3" width="10.6640625" style="2" customWidth="1"/>
    <col min="4" max="4" width="14.1640625" style="2" bestFit="1" customWidth="1"/>
    <col min="5" max="5" width="13.1640625" style="2" bestFit="1" customWidth="1"/>
    <col min="6" max="6" width="16.5" style="2" bestFit="1" customWidth="1"/>
    <col min="7" max="7" width="15.1640625" style="2" bestFit="1" customWidth="1"/>
    <col min="8" max="8" width="10.6640625" style="2" bestFit="1" customWidth="1"/>
    <col min="9" max="16384" width="10.83203125" style="2"/>
  </cols>
  <sheetData>
    <row r="1" spans="1:3" s="42" customFormat="1" ht="17" x14ac:dyDescent="0.2">
      <c r="A1" s="18" t="s">
        <v>33</v>
      </c>
      <c r="B1" s="5"/>
      <c r="C1" s="5"/>
    </row>
    <row r="2" spans="1:3" x14ac:dyDescent="0.2">
      <c r="A2" s="24" t="s">
        <v>34</v>
      </c>
      <c r="B2" s="43"/>
      <c r="C2" s="43"/>
    </row>
    <row r="3" spans="1:3" x14ac:dyDescent="0.2">
      <c r="A3" s="24" t="s">
        <v>35</v>
      </c>
      <c r="B3" s="12"/>
      <c r="C3" s="43"/>
    </row>
    <row r="4" spans="1:3" x14ac:dyDescent="0.2">
      <c r="A4" s="44"/>
      <c r="B4" s="43"/>
      <c r="C4" s="44"/>
    </row>
    <row r="5" spans="1:3" x14ac:dyDescent="0.2">
      <c r="A5" s="44"/>
      <c r="B5" s="44"/>
      <c r="C5" s="44"/>
    </row>
    <row r="6" spans="1:3" x14ac:dyDescent="0.2">
      <c r="A6" s="44"/>
      <c r="B6" s="44"/>
      <c r="C6" s="44"/>
    </row>
    <row r="7" spans="1:3" x14ac:dyDescent="0.2">
      <c r="A7" s="44"/>
      <c r="B7" s="44"/>
      <c r="C7" s="44"/>
    </row>
    <row r="8" spans="1:3" x14ac:dyDescent="0.2">
      <c r="A8" s="44"/>
      <c r="B8" s="44"/>
      <c r="C8" s="44"/>
    </row>
    <row r="9" spans="1:3" x14ac:dyDescent="0.2">
      <c r="A9" s="44"/>
      <c r="B9" s="44"/>
      <c r="C9" s="44"/>
    </row>
    <row r="10" spans="1:3" x14ac:dyDescent="0.2">
      <c r="A10" s="44"/>
      <c r="B10" s="44"/>
      <c r="C10" s="44"/>
    </row>
    <row r="11" spans="1:3" x14ac:dyDescent="0.2">
      <c r="A11" s="44"/>
      <c r="B11" s="44"/>
      <c r="C11" s="44"/>
    </row>
    <row r="12" spans="1:3" x14ac:dyDescent="0.2">
      <c r="A12" s="44"/>
      <c r="B12" s="44"/>
      <c r="C12" s="44"/>
    </row>
    <row r="13" spans="1:3" x14ac:dyDescent="0.2">
      <c r="A13" s="44"/>
      <c r="B13" s="44"/>
      <c r="C13" s="44"/>
    </row>
    <row r="14" spans="1:3" x14ac:dyDescent="0.2">
      <c r="A14" s="44"/>
      <c r="B14" s="44"/>
      <c r="C14" s="44"/>
    </row>
    <row r="15" spans="1:3" x14ac:dyDescent="0.2">
      <c r="A15" s="44"/>
      <c r="B15" s="44"/>
      <c r="C15" s="44"/>
    </row>
    <row r="16" spans="1:3" x14ac:dyDescent="0.2">
      <c r="A16" s="44"/>
      <c r="B16" s="44"/>
      <c r="C16" s="44"/>
    </row>
    <row r="17" spans="1:8" x14ac:dyDescent="0.2">
      <c r="A17" s="44"/>
      <c r="B17" s="44"/>
      <c r="C17" s="44"/>
    </row>
    <row r="18" spans="1:8" x14ac:dyDescent="0.2">
      <c r="A18" s="44"/>
      <c r="B18" s="44"/>
      <c r="C18" s="44"/>
    </row>
    <row r="19" spans="1:8" x14ac:dyDescent="0.2">
      <c r="A19" s="44"/>
      <c r="B19" s="44"/>
      <c r="C19" s="44"/>
    </row>
    <row r="20" spans="1:8" x14ac:dyDescent="0.2">
      <c r="A20" s="44"/>
      <c r="B20" s="44"/>
      <c r="C20" s="44"/>
    </row>
    <row r="21" spans="1:8" x14ac:dyDescent="0.2">
      <c r="A21" s="44"/>
      <c r="B21" s="44"/>
      <c r="C21" s="44"/>
    </row>
    <row r="25" spans="1:8" ht="379" customHeight="1" x14ac:dyDescent="0.2">
      <c r="A25" s="45" t="s">
        <v>24</v>
      </c>
    </row>
    <row r="29" spans="1:8" x14ac:dyDescent="0.2">
      <c r="C29" s="46" t="s">
        <v>25</v>
      </c>
      <c r="D29" s="47">
        <v>1</v>
      </c>
      <c r="G29" s="46"/>
      <c r="H29" s="4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B056-FF61-134F-B251-D8466E470ED4}">
  <dimension ref="F4:M31"/>
  <sheetViews>
    <sheetView zoomScaleNormal="100" workbookViewId="0">
      <selection activeCell="R22" sqref="R22"/>
    </sheetView>
  </sheetViews>
  <sheetFormatPr baseColWidth="10" defaultRowHeight="16" x14ac:dyDescent="0.2"/>
  <cols>
    <col min="7" max="7" width="4.5" customWidth="1"/>
  </cols>
  <sheetData>
    <row r="4" spans="6:13" x14ac:dyDescent="0.2">
      <c r="F4" s="20"/>
      <c r="G4" s="20"/>
      <c r="H4" s="20">
        <v>0</v>
      </c>
      <c r="I4" s="20">
        <v>1E-4</v>
      </c>
      <c r="J4" s="20">
        <v>20</v>
      </c>
      <c r="K4" s="20">
        <v>50</v>
      </c>
      <c r="L4" s="20">
        <v>80</v>
      </c>
      <c r="M4" s="20">
        <v>95</v>
      </c>
    </row>
    <row r="5" spans="6:13" x14ac:dyDescent="0.2">
      <c r="F5" s="20"/>
      <c r="G5" s="20"/>
      <c r="H5" s="61">
        <v>0</v>
      </c>
      <c r="I5" s="61">
        <v>0.4</v>
      </c>
      <c r="J5" s="61">
        <v>4.5</v>
      </c>
      <c r="K5" s="61">
        <v>6.5</v>
      </c>
      <c r="L5" s="61">
        <v>8.35</v>
      </c>
      <c r="M5" s="61">
        <v>10</v>
      </c>
    </row>
    <row r="6" spans="6:13" x14ac:dyDescent="0.2">
      <c r="F6" s="20">
        <v>95</v>
      </c>
      <c r="G6" s="61">
        <v>10</v>
      </c>
      <c r="H6" s="70">
        <f t="shared" ref="H6:H11" si="0">none*G6</f>
        <v>0</v>
      </c>
      <c r="I6" s="70">
        <f t="shared" ref="I6:I11" si="1">very_low*G6</f>
        <v>4</v>
      </c>
      <c r="J6" s="70">
        <f t="shared" ref="J6:J11" si="2">low*G6</f>
        <v>45</v>
      </c>
      <c r="K6" s="70">
        <f t="shared" ref="K6:K11" si="3">medium*G6</f>
        <v>65</v>
      </c>
      <c r="L6" s="70">
        <f>high*G6</f>
        <v>83.5</v>
      </c>
      <c r="M6" s="70">
        <f t="shared" ref="M6:M11" si="4">very_high*G6</f>
        <v>100</v>
      </c>
    </row>
    <row r="7" spans="6:13" x14ac:dyDescent="0.2">
      <c r="F7" s="20">
        <v>80</v>
      </c>
      <c r="G7" s="61">
        <v>9.6</v>
      </c>
      <c r="H7" s="70">
        <f t="shared" si="0"/>
        <v>0</v>
      </c>
      <c r="I7" s="70">
        <f t="shared" si="1"/>
        <v>3.84</v>
      </c>
      <c r="J7" s="70">
        <f t="shared" si="2"/>
        <v>43.199999999999996</v>
      </c>
      <c r="K7" s="70">
        <f t="shared" si="3"/>
        <v>62.4</v>
      </c>
      <c r="L7" s="70">
        <f>high*G7</f>
        <v>80.16</v>
      </c>
      <c r="M7" s="70">
        <f t="shared" si="4"/>
        <v>96</v>
      </c>
    </row>
    <row r="8" spans="6:13" x14ac:dyDescent="0.2">
      <c r="F8" s="20">
        <v>50</v>
      </c>
      <c r="G8" s="61">
        <v>8</v>
      </c>
      <c r="H8" s="70">
        <f t="shared" si="0"/>
        <v>0</v>
      </c>
      <c r="I8" s="70">
        <f t="shared" si="1"/>
        <v>3.2</v>
      </c>
      <c r="J8" s="70">
        <f t="shared" si="2"/>
        <v>36</v>
      </c>
      <c r="K8" s="70">
        <f t="shared" si="3"/>
        <v>52</v>
      </c>
      <c r="L8" s="70">
        <f t="shared" ref="L8:L11" si="5">high*G8</f>
        <v>66.8</v>
      </c>
      <c r="M8" s="70">
        <f t="shared" si="4"/>
        <v>80</v>
      </c>
    </row>
    <row r="9" spans="6:13" x14ac:dyDescent="0.2">
      <c r="F9" s="20">
        <v>20</v>
      </c>
      <c r="G9" s="61">
        <v>5</v>
      </c>
      <c r="H9" s="70">
        <f t="shared" si="0"/>
        <v>0</v>
      </c>
      <c r="I9" s="70">
        <f t="shared" si="1"/>
        <v>2</v>
      </c>
      <c r="J9" s="70">
        <f t="shared" si="2"/>
        <v>22.5</v>
      </c>
      <c r="K9" s="70">
        <f t="shared" si="3"/>
        <v>32.5</v>
      </c>
      <c r="L9" s="70">
        <f t="shared" si="5"/>
        <v>41.75</v>
      </c>
      <c r="M9" s="70">
        <f t="shared" si="4"/>
        <v>50</v>
      </c>
    </row>
    <row r="10" spans="6:13" x14ac:dyDescent="0.2">
      <c r="F10" s="20">
        <v>1E-4</v>
      </c>
      <c r="G10" s="61">
        <v>3</v>
      </c>
      <c r="H10" s="70">
        <f t="shared" si="0"/>
        <v>0</v>
      </c>
      <c r="I10" s="70">
        <f t="shared" si="1"/>
        <v>1.2000000000000002</v>
      </c>
      <c r="J10" s="70">
        <f t="shared" si="2"/>
        <v>13.5</v>
      </c>
      <c r="K10" s="70">
        <f t="shared" si="3"/>
        <v>19.5</v>
      </c>
      <c r="L10" s="70">
        <f t="shared" si="5"/>
        <v>25.049999999999997</v>
      </c>
      <c r="M10" s="70">
        <f t="shared" si="4"/>
        <v>30</v>
      </c>
    </row>
    <row r="11" spans="6:13" x14ac:dyDescent="0.2">
      <c r="F11" s="20">
        <v>0</v>
      </c>
      <c r="G11" s="61">
        <v>0</v>
      </c>
      <c r="H11" s="70">
        <f t="shared" si="0"/>
        <v>0</v>
      </c>
      <c r="I11" s="70">
        <f t="shared" si="1"/>
        <v>0</v>
      </c>
      <c r="J11" s="70">
        <f t="shared" si="2"/>
        <v>0</v>
      </c>
      <c r="K11" s="70">
        <f t="shared" si="3"/>
        <v>0</v>
      </c>
      <c r="L11" s="70">
        <f t="shared" si="5"/>
        <v>0</v>
      </c>
      <c r="M11" s="70">
        <f t="shared" si="4"/>
        <v>0</v>
      </c>
    </row>
    <row r="14" spans="6:13" x14ac:dyDescent="0.2">
      <c r="F14" s="20"/>
      <c r="G14" s="20"/>
      <c r="H14" s="62" t="str">
        <f>VLOOKUP(H4,[0]!RQ_start:RQ_end,2,TRUE)</f>
        <v>none</v>
      </c>
      <c r="I14" s="62" t="str">
        <f>VLOOKUP(I4,[0]!RQ_start:RQ_end,2,TRUE)</f>
        <v>very low</v>
      </c>
      <c r="J14" s="62" t="str">
        <f>VLOOKUP(J4,[0]!RQ_start:RQ_end,2,TRUE)</f>
        <v>low</v>
      </c>
      <c r="K14" s="62" t="str">
        <f>VLOOKUP(K4,[0]!RQ_start:RQ_end,2,TRUE)</f>
        <v>moderate</v>
      </c>
      <c r="L14" s="62" t="str">
        <f>VLOOKUP(L4,[0]!RQ_start:RQ_end,2,TRUE)</f>
        <v>high</v>
      </c>
      <c r="M14" s="62" t="str">
        <f>VLOOKUP(M4,[0]!RQ_start:RQ_end,2,TRUE)</f>
        <v>very high</v>
      </c>
    </row>
    <row r="15" spans="6:13" x14ac:dyDescent="0.2">
      <c r="F15" s="20"/>
      <c r="G15" s="20"/>
      <c r="H15" s="20"/>
      <c r="I15" s="20"/>
      <c r="J15" s="20"/>
      <c r="K15" s="20"/>
      <c r="L15" s="20"/>
      <c r="M15" s="20"/>
    </row>
    <row r="16" spans="6:13" x14ac:dyDescent="0.2">
      <c r="F16" s="62" t="str">
        <f>VLOOKUP(F6,[0]!RQ_start:RQ_end,2,TRUE)</f>
        <v>very high</v>
      </c>
      <c r="G16" s="20"/>
      <c r="H16" s="67" t="str">
        <f>VLOOKUP(H6,[0]!RQ_start:RQ_end,2,TRUE)</f>
        <v>none</v>
      </c>
      <c r="I16" s="64" t="str">
        <f>VLOOKUP(I6,[0]!RQ_start:RQ_end,2,TRUE)</f>
        <v>very low</v>
      </c>
      <c r="J16" s="65" t="str">
        <f>VLOOKUP(J6,[0]!RQ_start:RQ_end,2,TRUE)</f>
        <v>low</v>
      </c>
      <c r="K16" s="66" t="str">
        <f>VLOOKUP(K6,[0]!RQ_start:RQ_end,2,TRUE)</f>
        <v>moderate</v>
      </c>
      <c r="L16" s="68" t="str">
        <f>VLOOKUP(L6,[0]!RQ_start:RQ_end,2,TRUE)</f>
        <v>high</v>
      </c>
      <c r="M16" s="69" t="str">
        <f>VLOOKUP(M6,[0]!RQ_start:RQ_end,2,TRUE)</f>
        <v>very high</v>
      </c>
    </row>
    <row r="17" spans="6:13" x14ac:dyDescent="0.2">
      <c r="F17" s="62" t="str">
        <f>VLOOKUP(F7,[0]!RQ_start:RQ_end,2,TRUE)</f>
        <v>high</v>
      </c>
      <c r="G17" s="20"/>
      <c r="H17" s="67" t="str">
        <f>VLOOKUP(H7,[0]!RQ_start:RQ_end,2,TRUE)</f>
        <v>none</v>
      </c>
      <c r="I17" s="64" t="str">
        <f>VLOOKUP(I7,[0]!RQ_start:RQ_end,2,TRUE)</f>
        <v>very low</v>
      </c>
      <c r="J17" s="65" t="str">
        <f>VLOOKUP(J7,[0]!RQ_start:RQ_end,2,TRUE)</f>
        <v>low</v>
      </c>
      <c r="K17" s="66" t="str">
        <f>VLOOKUP(K7,[0]!RQ_start:RQ_end,2,TRUE)</f>
        <v>moderate</v>
      </c>
      <c r="L17" s="68" t="str">
        <f>VLOOKUP(L7,[0]!RQ_start:RQ_end,2,TRUE)</f>
        <v>high</v>
      </c>
      <c r="M17" s="69" t="str">
        <f>VLOOKUP(M7,[0]!RQ_start:RQ_end,2,TRUE)</f>
        <v>very high</v>
      </c>
    </row>
    <row r="18" spans="6:13" x14ac:dyDescent="0.2">
      <c r="F18" s="62" t="str">
        <f>VLOOKUP(F8,[0]!RQ_start:RQ_end,2,TRUE)</f>
        <v>moderate</v>
      </c>
      <c r="G18" s="20"/>
      <c r="H18" s="67" t="str">
        <f>VLOOKUP(H8,[0]!RQ_start:RQ_end,2,TRUE)</f>
        <v>none</v>
      </c>
      <c r="I18" s="64" t="str">
        <f>VLOOKUP(I8,[0]!RQ_start:RQ_end,2,TRUE)</f>
        <v>very low</v>
      </c>
      <c r="J18" s="65" t="str">
        <f>VLOOKUP(J8,[0]!RQ_start:RQ_end,2,TRUE)</f>
        <v>low</v>
      </c>
      <c r="K18" s="66" t="str">
        <f>VLOOKUP(K8,[0]!RQ_start:RQ_end,2,TRUE)</f>
        <v>moderate</v>
      </c>
      <c r="L18" s="66" t="str">
        <f>VLOOKUP(L8,[0]!RQ_start:RQ_end,2,TRUE)</f>
        <v>moderate</v>
      </c>
      <c r="M18" s="68" t="str">
        <f>VLOOKUP(M8,[0]!RQ_start:RQ_end,2,TRUE)</f>
        <v>high</v>
      </c>
    </row>
    <row r="19" spans="6:13" x14ac:dyDescent="0.2">
      <c r="F19" s="62" t="str">
        <f>VLOOKUP(F9,[0]!RQ_start:RQ_end,2,TRUE)</f>
        <v>low</v>
      </c>
      <c r="G19" s="20"/>
      <c r="H19" s="67" t="str">
        <f>VLOOKUP(H9,[0]!RQ_start:RQ_end,2,TRUE)</f>
        <v>none</v>
      </c>
      <c r="I19" s="64" t="str">
        <f>VLOOKUP(I9,[0]!RQ_start:RQ_end,2,TRUE)</f>
        <v>very low</v>
      </c>
      <c r="J19" s="65" t="str">
        <f>VLOOKUP(J9,[0]!RQ_start:RQ_end,2,TRUE)</f>
        <v>low</v>
      </c>
      <c r="K19" s="65" t="str">
        <f>VLOOKUP(K9,[0]!RQ_start:RQ_end,2,TRUE)</f>
        <v>low</v>
      </c>
      <c r="L19" s="65" t="str">
        <f>VLOOKUP(L9,[0]!RQ_start:RQ_end,2,TRUE)</f>
        <v>low</v>
      </c>
      <c r="M19" s="66" t="str">
        <f>VLOOKUP(M9,[0]!RQ_start:RQ_end,2,TRUE)</f>
        <v>moderate</v>
      </c>
    </row>
    <row r="20" spans="6:13" x14ac:dyDescent="0.2">
      <c r="F20" s="62" t="str">
        <f>VLOOKUP(F10,[0]!RQ_start:RQ_end,2,TRUE)</f>
        <v>very low</v>
      </c>
      <c r="G20" s="20"/>
      <c r="H20" s="67" t="str">
        <f>VLOOKUP(H10,[0]!RQ_start:RQ_end,2,TRUE)</f>
        <v>none</v>
      </c>
      <c r="I20" s="64" t="str">
        <f>VLOOKUP(I10,[0]!RQ_start:RQ_end,2,TRUE)</f>
        <v>very low</v>
      </c>
      <c r="J20" s="64" t="str">
        <f>VLOOKUP(J10,[0]!RQ_start:RQ_end,2,TRUE)</f>
        <v>very low</v>
      </c>
      <c r="K20" s="64" t="str">
        <f>VLOOKUP(K10,[0]!RQ_start:RQ_end,2,TRUE)</f>
        <v>very low</v>
      </c>
      <c r="L20" s="65" t="str">
        <f>VLOOKUP(L10,[0]!RQ_start:RQ_end,2,TRUE)</f>
        <v>low</v>
      </c>
      <c r="M20" s="65" t="str">
        <f>VLOOKUP(M10,[0]!RQ_start:RQ_end,2,TRUE)</f>
        <v>low</v>
      </c>
    </row>
    <row r="21" spans="6:13" x14ac:dyDescent="0.2">
      <c r="F21" s="62" t="str">
        <f>VLOOKUP(F11,[0]!RQ_start:RQ_end,2,TRUE)</f>
        <v>none</v>
      </c>
      <c r="G21" s="20"/>
      <c r="H21" s="67" t="str">
        <f>VLOOKUP(H11,[0]!RQ_start:RQ_end,2,TRUE)</f>
        <v>none</v>
      </c>
      <c r="I21" s="67" t="str">
        <f>VLOOKUP(I11,[0]!RQ_start:RQ_end,2,TRUE)</f>
        <v>none</v>
      </c>
      <c r="J21" s="67" t="str">
        <f>VLOOKUP(J11,[0]!RQ_start:RQ_end,2,TRUE)</f>
        <v>none</v>
      </c>
      <c r="K21" s="67" t="str">
        <f>VLOOKUP(K11,[0]!RQ_start:RQ_end,2,TRUE)</f>
        <v>none</v>
      </c>
      <c r="L21" s="67" t="str">
        <f>VLOOKUP(L11,[0]!RQ_start:RQ_end,2,TRUE)</f>
        <v>none</v>
      </c>
      <c r="M21" s="67" t="str">
        <f>VLOOKUP(M11,[0]!RQ_start:RQ_end,2,TRUE)</f>
        <v>none</v>
      </c>
    </row>
    <row r="24" spans="6:13" x14ac:dyDescent="0.2">
      <c r="H24" s="62" t="s">
        <v>41</v>
      </c>
      <c r="I24" s="62" t="s">
        <v>42</v>
      </c>
      <c r="J24" s="62"/>
      <c r="K24" s="62" t="s">
        <v>43</v>
      </c>
      <c r="L24" s="62" t="s">
        <v>40</v>
      </c>
    </row>
    <row r="25" spans="6:13" x14ac:dyDescent="0.2">
      <c r="H25" s="20"/>
      <c r="I25" s="20"/>
      <c r="J25" s="20"/>
      <c r="K25" s="20"/>
      <c r="L25" s="20"/>
    </row>
    <row r="26" spans="6:13" x14ac:dyDescent="0.2">
      <c r="H26" s="20" t="s">
        <v>3</v>
      </c>
      <c r="I26" s="20" t="s">
        <v>8</v>
      </c>
      <c r="J26" s="20"/>
      <c r="K26" s="71">
        <f>VLOOKUP(H26,[0]!RQ_comp_s:RQ_comp_e,2,FALSE) * VLOOKUP(I26,[0]!RQ_comp_s:RQ_comp_e,2,FALSE)</f>
        <v>0</v>
      </c>
      <c r="L26" s="63" t="str">
        <f>VLOOKUP(VLOOKUP(H26,[0]!RQ_comp_s:RQ_comp_e,2,FALSE) * VLOOKUP(I26,[0]!RQ_comp_s:RQ_comp_e,2,FALSE),[0]!RQ_start:RQ_end,2,TRUE)</f>
        <v>none</v>
      </c>
    </row>
    <row r="27" spans="6:13" x14ac:dyDescent="0.2">
      <c r="H27" s="20" t="s">
        <v>6</v>
      </c>
      <c r="I27" s="20" t="s">
        <v>10</v>
      </c>
      <c r="J27" s="20"/>
      <c r="K27" s="71">
        <f>VLOOKUP(H27,[0]!RQ_comp_s:RQ_comp_e,2,FALSE) * VLOOKUP(I27,[0]!RQ_comp_s:RQ_comp_e,2,FALSE)</f>
        <v>24</v>
      </c>
      <c r="L27" s="63" t="str">
        <f>VLOOKUP(VLOOKUP(H27,[0]!RQ_comp_s:RQ_comp_e,2,FALSE) * VLOOKUP(I27,[0]!RQ_comp_s:RQ_comp_e,2,FALSE),[0]!RQ_start:RQ_end,2,TRUE)</f>
        <v>low</v>
      </c>
    </row>
    <row r="28" spans="6:13" x14ac:dyDescent="0.2">
      <c r="H28" s="20" t="s">
        <v>10</v>
      </c>
      <c r="I28" s="20" t="s">
        <v>7</v>
      </c>
      <c r="J28" s="20"/>
      <c r="K28" s="71">
        <f>VLOOKUP(H28,[0]!RQ_comp_s:RQ_comp_e,2,FALSE) * VLOOKUP(I28,[0]!RQ_comp_s:RQ_comp_e,2,FALSE)</f>
        <v>40</v>
      </c>
      <c r="L28" s="63" t="str">
        <f>VLOOKUP(VLOOKUP(H28,[0]!RQ_comp_s:RQ_comp_e,2,FALSE) * VLOOKUP(I28,[0]!RQ_comp_s:RQ_comp_e,2,FALSE),[0]!RQ_start:RQ_end,2,TRUE)</f>
        <v>low</v>
      </c>
    </row>
    <row r="29" spans="6:13" x14ac:dyDescent="0.2">
      <c r="H29" s="20" t="s">
        <v>10</v>
      </c>
      <c r="I29" s="20" t="s">
        <v>10</v>
      </c>
      <c r="J29" s="20"/>
      <c r="K29" s="71">
        <f>VLOOKUP(H29,[0]!RQ_comp_s:RQ_comp_e,2,FALSE) * VLOOKUP(I29,[0]!RQ_comp_s:RQ_comp_e,2,FALSE)</f>
        <v>64</v>
      </c>
      <c r="L29" s="63" t="str">
        <f>VLOOKUP(VLOOKUP(H29,[0]!RQ_comp_s:RQ_comp_e,2,FALSE) * VLOOKUP(I29,[0]!RQ_comp_s:RQ_comp_e,2,FALSE),[0]!RQ_start:RQ_end,2,TRUE)</f>
        <v>moderate</v>
      </c>
    </row>
    <row r="30" spans="6:13" x14ac:dyDescent="0.2">
      <c r="H30" s="20" t="s">
        <v>8</v>
      </c>
      <c r="I30" s="20" t="s">
        <v>9</v>
      </c>
      <c r="J30" s="20"/>
      <c r="K30" s="71">
        <f>VLOOKUP(H30,[0]!RQ_comp_s:RQ_comp_e,2,FALSE) * VLOOKUP(I30,[0]!RQ_comp_s:RQ_comp_e,2,FALSE)</f>
        <v>96</v>
      </c>
      <c r="L30" s="63" t="str">
        <f>VLOOKUP(VLOOKUP(H30,[0]!RQ_comp_s:RQ_comp_e,2,FALSE) * VLOOKUP(I30,[0]!RQ_comp_s:RQ_comp_e,2,FALSE),[0]!RQ_start:RQ_end,2,TRUE)</f>
        <v>very high</v>
      </c>
    </row>
    <row r="31" spans="6:13" x14ac:dyDescent="0.2">
      <c r="H31" s="20" t="s">
        <v>9</v>
      </c>
      <c r="I31" s="20" t="s">
        <v>9</v>
      </c>
      <c r="J31" s="20"/>
      <c r="K31" s="71">
        <f>VLOOKUP(H31,[0]!RQ_comp_s:RQ_comp_e,2,FALSE) * VLOOKUP(I31,[0]!RQ_comp_s:RQ_comp_e,2,FALSE)</f>
        <v>100</v>
      </c>
      <c r="L31" s="63" t="str">
        <f>VLOOKUP(VLOOKUP(H31,[0]!RQ_comp_s:RQ_comp_e,2,FALSE) * VLOOKUP(I31,[0]!RQ_comp_s:RQ_comp_e,2,FALSE),[0]!RQ_start:RQ_end,2,TRUE)</f>
        <v>very high</v>
      </c>
    </row>
  </sheetData>
  <sortState xmlns:xlrd2="http://schemas.microsoft.com/office/spreadsheetml/2017/richdata2" ref="F6:F11">
    <sortCondition descending="1" ref="F6:F1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77E6FA-954C-6542-9ED5-BF8492BCC646}">
          <x14:formula1>
            <xm:f>'800-30 quantization'!$C$5:$C$20</xm:f>
          </x14:formula1>
          <xm:sqref>H26:I34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30</vt:i4>
      </vt:variant>
    </vt:vector>
  </HeadingPairs>
  <TitlesOfParts>
    <vt:vector size="37" baseType="lpstr">
      <vt:lpstr>cover sheet</vt:lpstr>
      <vt:lpstr>revision history</vt:lpstr>
      <vt:lpstr>references</vt:lpstr>
      <vt:lpstr>slicing</vt:lpstr>
      <vt:lpstr>800-30 quantization</vt:lpstr>
      <vt:lpstr>legend</vt:lpstr>
      <vt:lpstr>scratchpad</vt:lpstr>
      <vt:lpstr>high</vt:lpstr>
      <vt:lpstr>impact_end</vt:lpstr>
      <vt:lpstr>impact_low</vt:lpstr>
      <vt:lpstr>impact_moderate</vt:lpstr>
      <vt:lpstr>impact_none</vt:lpstr>
      <vt:lpstr>impact_start</vt:lpstr>
      <vt:lpstr>impact_very_high</vt:lpstr>
      <vt:lpstr>impact_very_low</vt:lpstr>
      <vt:lpstr>likelihood_end</vt:lpstr>
      <vt:lpstr>likelihood_high</vt:lpstr>
      <vt:lpstr>likelihood_low</vt:lpstr>
      <vt:lpstr>likelihood_moderate</vt:lpstr>
      <vt:lpstr>likelihood_none</vt:lpstr>
      <vt:lpstr>likelihood_start</vt:lpstr>
      <vt:lpstr>likelihood_very_high</vt:lpstr>
      <vt:lpstr>likelihood_very_low</vt:lpstr>
      <vt:lpstr>low</vt:lpstr>
      <vt:lpstr>medium</vt:lpstr>
      <vt:lpstr>none</vt:lpstr>
      <vt:lpstr>RQ_comp_e</vt:lpstr>
      <vt:lpstr>RQ_comp_s</vt:lpstr>
      <vt:lpstr>RQ_end</vt:lpstr>
      <vt:lpstr>RQ_end_800</vt:lpstr>
      <vt:lpstr>RQ_end_comp</vt:lpstr>
      <vt:lpstr>RQ_likelihood_s</vt:lpstr>
      <vt:lpstr>RQ_start</vt:lpstr>
      <vt:lpstr>RQ_start_800</vt:lpstr>
      <vt:lpstr>RQ_start_comp</vt:lpstr>
      <vt:lpstr>very_high</vt:lpstr>
      <vt:lpstr>very_low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candidate slicing template (SP 800-30)</dc:title>
  <dc:subject>threat candidate slicing (SP 800-30)</dc:subject>
  <dc:creator>Charles Wilson</dc:creator>
  <cp:keywords>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2026-07-29T19:21:01Z</dcterms:created>
  <dcterms:modified xsi:type="dcterms:W3CDTF">2026-10-14T13:30:11Z</dcterms:modified>
  <cp:category>threat prioritization</cp:category>
</cp:coreProperties>
</file>