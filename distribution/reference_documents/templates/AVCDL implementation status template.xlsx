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40203E89-2C14-8744-B95B-37A273B1371E}" xr6:coauthVersionLast="47" xr6:coauthVersionMax="47" xr10:uidLastSave="{00000000-0000-0000-0000-000000000000}"/>
  <bookViews>
    <workbookView xWindow="19300" yWindow="4300" windowWidth="37040" windowHeight="23100" xr2:uid="{6C8EF887-7086-F243-82DA-7C4F375B7D59}"/>
  </bookViews>
  <sheets>
    <sheet name="adoption status" sheetId="1" r:id="rId1"/>
    <sheet name="summary diagram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5" l="1"/>
  <c r="V50" i="5"/>
  <c r="V48" i="5"/>
  <c r="J50" i="1"/>
  <c r="J45" i="1"/>
  <c r="J41" i="1"/>
  <c r="J36" i="1"/>
  <c r="J24" i="1"/>
  <c r="J18" i="1"/>
  <c r="J15" i="1"/>
  <c r="J4" i="1"/>
  <c r="H45" i="1"/>
  <c r="H46" i="1"/>
  <c r="H47" i="1"/>
  <c r="H48" i="1"/>
  <c r="H41" i="1"/>
  <c r="H42" i="1"/>
  <c r="H43" i="1"/>
  <c r="H36" i="1"/>
  <c r="H37" i="1"/>
  <c r="H38" i="1"/>
  <c r="H39" i="1"/>
  <c r="H24" i="1"/>
  <c r="H25" i="1"/>
  <c r="H26" i="1"/>
  <c r="H27" i="1"/>
  <c r="H28" i="1"/>
  <c r="H29" i="1"/>
  <c r="H30" i="1"/>
  <c r="H31" i="1"/>
  <c r="H32" i="1"/>
  <c r="H33" i="1"/>
  <c r="H34" i="1"/>
  <c r="H18" i="1"/>
  <c r="H19" i="1"/>
  <c r="H20" i="1"/>
  <c r="H21" i="1"/>
  <c r="H22" i="1"/>
  <c r="H15" i="1"/>
  <c r="H16" i="1"/>
  <c r="H5" i="1"/>
  <c r="H6" i="1"/>
  <c r="H7" i="1"/>
  <c r="H8" i="1"/>
  <c r="H9" i="1"/>
  <c r="H10" i="1"/>
  <c r="H11" i="1"/>
  <c r="H12" i="1"/>
  <c r="H13" i="1"/>
  <c r="H4" i="1"/>
  <c r="H50" i="1"/>
  <c r="G4" i="1"/>
  <c r="G50" i="1"/>
  <c r="G48" i="1"/>
  <c r="G47" i="1"/>
  <c r="G46" i="1"/>
  <c r="G45" i="1"/>
  <c r="G43" i="1"/>
  <c r="G42" i="1"/>
  <c r="G41" i="1"/>
  <c r="G39" i="1"/>
  <c r="G38" i="1"/>
  <c r="G37" i="1"/>
  <c r="G36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9" i="1"/>
  <c r="G18" i="1"/>
  <c r="G16" i="1"/>
  <c r="G15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<sst xmlns="http://schemas.openxmlformats.org/spreadsheetml/2006/main" count="103" uniqueCount="103">
  <si>
    <t>Percent Complete</t>
  </si>
  <si>
    <t>do not edit</t>
  </si>
  <si>
    <t>AVCDL phase</t>
  </si>
  <si>
    <t>requirement</t>
  </si>
  <si>
    <t>name</t>
  </si>
  <si>
    <t>Percent needed to be done</t>
  </si>
  <si>
    <t>Conditional label</t>
  </si>
  <si>
    <t>Item count</t>
  </si>
  <si>
    <t>Group count</t>
  </si>
  <si>
    <t>Foundation</t>
  </si>
  <si>
    <t>F1</t>
  </si>
  <si>
    <t>Training</t>
  </si>
  <si>
    <t>F2</t>
  </si>
  <si>
    <t>Roles and Responsibilities</t>
  </si>
  <si>
    <t>F3</t>
  </si>
  <si>
    <t>Toolchain Support</t>
  </si>
  <si>
    <t>F4</t>
  </si>
  <si>
    <t>Global Security Goals / Requirements</t>
  </si>
  <si>
    <t>F5</t>
  </si>
  <si>
    <t>Protect the Code</t>
  </si>
  <si>
    <t>F6</t>
  </si>
  <si>
    <t>Ensure Release Integrity</t>
  </si>
  <si>
    <t>F7</t>
  </si>
  <si>
    <t>Incident Response Plan</t>
  </si>
  <si>
    <t>F8</t>
  </si>
  <si>
    <t>Decommissioning Plan</t>
  </si>
  <si>
    <t>F9</t>
  </si>
  <si>
    <t>Threat Prioritization Plan</t>
  </si>
  <si>
    <t>F10</t>
  </si>
  <si>
    <t>Deployment Plan</t>
  </si>
  <si>
    <t>Requirements</t>
  </si>
  <si>
    <t>R1</t>
  </si>
  <si>
    <t>Element-level Security Requirements</t>
  </si>
  <si>
    <t>R2</t>
  </si>
  <si>
    <t>Requirements Gate</t>
  </si>
  <si>
    <t>Design</t>
  </si>
  <si>
    <t>D1</t>
  </si>
  <si>
    <t>Consider Security and Risk During Design</t>
  </si>
  <si>
    <t>D2</t>
  </si>
  <si>
    <t>Design Review</t>
  </si>
  <si>
    <t>D3</t>
  </si>
  <si>
    <t>Attack Surface Reduction</t>
  </si>
  <si>
    <t>D4</t>
  </si>
  <si>
    <t>Threat Modeling</t>
  </si>
  <si>
    <t>D5</t>
  </si>
  <si>
    <t>Design Gate</t>
  </si>
  <si>
    <t>Implementation</t>
  </si>
  <si>
    <t>I1</t>
  </si>
  <si>
    <t>Use Approved Tools</t>
  </si>
  <si>
    <t>I2</t>
  </si>
  <si>
    <t>Configure Process for Security</t>
  </si>
  <si>
    <t>I3</t>
  </si>
  <si>
    <t>Configure Secure Settings by Default</t>
  </si>
  <si>
    <t>I4</t>
  </si>
  <si>
    <t>Reuse Well-Secured Software</t>
  </si>
  <si>
    <t>I5</t>
  </si>
  <si>
    <t>Use Secure Coding Practice</t>
  </si>
  <si>
    <t>I6</t>
  </si>
  <si>
    <t>Deprecate Unsafe Functions</t>
  </si>
  <si>
    <t>I7</t>
  </si>
  <si>
    <t>Static Analysis</t>
  </si>
  <si>
    <t>I8</t>
  </si>
  <si>
    <t>Dynamic Program Analysis</t>
  </si>
  <si>
    <t>I9</t>
  </si>
  <si>
    <t>Security Code Review</t>
  </si>
  <si>
    <t>I10</t>
  </si>
  <si>
    <t>Fuzz Testing</t>
  </si>
  <si>
    <t>I11</t>
  </si>
  <si>
    <t>Implementation Gate</t>
  </si>
  <si>
    <t>Verification</t>
  </si>
  <si>
    <t>V1</t>
  </si>
  <si>
    <t>Penetration Testing</t>
  </si>
  <si>
    <t>V2</t>
  </si>
  <si>
    <t>Threat Model Review</t>
  </si>
  <si>
    <t>V3</t>
  </si>
  <si>
    <t>Attack Surface Analysis Review</t>
  </si>
  <si>
    <t>V4</t>
  </si>
  <si>
    <t>Verification Gate</t>
  </si>
  <si>
    <t>Release</t>
  </si>
  <si>
    <t>S1</t>
  </si>
  <si>
    <t>Final Security Review</t>
  </si>
  <si>
    <t>S2</t>
  </si>
  <si>
    <t>Archive</t>
  </si>
  <si>
    <t>S3</t>
  </si>
  <si>
    <t>Release Gate</t>
  </si>
  <si>
    <t>Operation</t>
  </si>
  <si>
    <t>O1</t>
  </si>
  <si>
    <t>Identify and Confirm Vulnerabilities</t>
  </si>
  <si>
    <t>O2</t>
  </si>
  <si>
    <t>Assess and Prioritize Remediation</t>
  </si>
  <si>
    <t>O3</t>
  </si>
  <si>
    <t>Root Cause Vulnerabilities</t>
  </si>
  <si>
    <t>O4</t>
  </si>
  <si>
    <t>Secure Deployment</t>
  </si>
  <si>
    <t>Decommissioning</t>
  </si>
  <si>
    <t>X1</t>
  </si>
  <si>
    <t>Apply Decommissioning Protocol</t>
  </si>
  <si>
    <t>security</t>
  </si>
  <si>
    <t>devops</t>
  </si>
  <si>
    <t>development</t>
  </si>
  <si>
    <t>Done</t>
  </si>
  <si>
    <t>Current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</si>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</sst>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24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2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499984740745262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49" fontId="6" fillId="0" borderId="1" xfId="0" applyNumberFormat="1" applyFont="1" applyBorder="1" applyAlignment="1">
      <alignment horizontal="center" textRotation="90"/>
    </xf>
    <xf numFmtId="0" fontId="7" fillId="7" borderId="3" xfId="0" applyFont="1" applyFill="1" applyBorder="1"/>
    <xf numFmtId="49" fontId="7" fillId="7" borderId="3" xfId="0" applyNumberFormat="1" applyFont="1" applyFill="1" applyBorder="1" applyAlignment="1">
      <alignment horizontal="center" textRotation="90" wrapText="1"/>
    </xf>
    <xf numFmtId="49" fontId="8" fillId="5" borderId="9" xfId="0" applyNumberFormat="1" applyFont="1" applyFill="1" applyBorder="1" applyAlignment="1">
      <alignment horizontal="left" vertical="top"/>
    </xf>
    <xf numFmtId="49" fontId="8" fillId="5" borderId="9" xfId="0" applyNumberFormat="1" applyFont="1" applyFill="1" applyBorder="1" applyAlignment="1">
      <alignment horizontal="right" vertical="center"/>
    </xf>
    <xf numFmtId="49" fontId="8" fillId="5" borderId="9" xfId="0" applyNumberFormat="1" applyFont="1" applyFill="1" applyBorder="1" applyAlignment="1">
      <alignment horizontal="center" vertical="top"/>
    </xf>
    <xf numFmtId="49" fontId="9" fillId="5" borderId="0" xfId="0" applyNumberFormat="1" applyFont="1" applyFill="1" applyAlignment="1">
      <alignment horizontal="center" vertical="top"/>
    </xf>
    <xf numFmtId="49" fontId="10" fillId="5" borderId="6" xfId="0" applyNumberFormat="1" applyFont="1" applyFill="1" applyBorder="1" applyAlignment="1">
      <alignment horizontal="center" vertical="top"/>
    </xf>
    <xf numFmtId="1" fontId="10" fillId="5" borderId="6" xfId="0" applyNumberFormat="1" applyFont="1" applyFill="1" applyBorder="1" applyAlignment="1">
      <alignment horizontal="center" vertical="top"/>
    </xf>
    <xf numFmtId="0" fontId="8" fillId="2" borderId="1" xfId="2" applyFont="1" applyBorder="1" applyAlignment="1">
      <alignment horizontal="right" vertical="center"/>
    </xf>
    <xf numFmtId="0" fontId="8" fillId="0" borderId="0" xfId="0" applyFont="1"/>
    <xf numFmtId="9" fontId="9" fillId="0" borderId="7" xfId="1" applyFont="1" applyFill="1" applyBorder="1" applyAlignment="1">
      <alignment horizontal="right" vertical="center"/>
    </xf>
    <xf numFmtId="49" fontId="11" fillId="0" borderId="1" xfId="0" applyNumberFormat="1" applyFont="1" applyBorder="1" applyAlignment="1">
      <alignment horizontal="left" vertical="center" wrapText="1"/>
    </xf>
    <xf numFmtId="9" fontId="9" fillId="0" borderId="6" xfId="1" applyFont="1" applyFill="1" applyBorder="1" applyAlignment="1">
      <alignment horizontal="right" vertical="center"/>
    </xf>
    <xf numFmtId="0" fontId="8" fillId="3" borderId="1" xfId="3" applyFont="1" applyBorder="1" applyAlignment="1">
      <alignment horizontal="right" vertical="center"/>
    </xf>
    <xf numFmtId="49" fontId="11" fillId="6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right" vertical="center"/>
    </xf>
    <xf numFmtId="0" fontId="8" fillId="4" borderId="1" xfId="4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49" fontId="11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textRotation="90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2" borderId="1" xfId="2" applyFont="1" applyBorder="1" applyAlignment="1"/>
    <xf numFmtId="0" fontId="2" fillId="0" borderId="0" xfId="2" applyFont="1" applyFill="1" applyBorder="1" applyAlignment="1"/>
    <xf numFmtId="0" fontId="2" fillId="3" borderId="1" xfId="3" applyFont="1" applyBorder="1" applyAlignment="1"/>
    <xf numFmtId="0" fontId="2" fillId="0" borderId="0" xfId="3" applyFont="1" applyFill="1" applyBorder="1" applyAlignment="1"/>
    <xf numFmtId="0" fontId="2" fillId="4" borderId="1" xfId="4" applyFont="1" applyBorder="1" applyAlignment="1"/>
    <xf numFmtId="0" fontId="2" fillId="0" borderId="0" xfId="4" applyFont="1" applyFill="1" applyBorder="1" applyAlignment="1"/>
    <xf numFmtId="1" fontId="10" fillId="8" borderId="4" xfId="0" applyNumberFormat="1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49" fontId="10" fillId="5" borderId="6" xfId="0" applyNumberFormat="1" applyFont="1" applyFill="1" applyBorder="1" applyAlignment="1">
      <alignment horizontal="center" vertical="center"/>
    </xf>
    <xf numFmtId="1" fontId="10" fillId="8" borderId="3" xfId="0" applyNumberFormat="1" applyFont="1" applyFill="1" applyBorder="1" applyAlignment="1">
      <alignment vertical="center"/>
    </xf>
    <xf numFmtId="9" fontId="9" fillId="6" borderId="6" xfId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9" borderId="0" xfId="0" applyFont="1" applyFill="1"/>
    <xf numFmtId="49" fontId="12" fillId="0" borderId="0" xfId="0" applyNumberFormat="1" applyFont="1" applyAlignment="1">
      <alignment vertical="center"/>
    </xf>
    <xf numFmtId="0" fontId="12" fillId="10" borderId="0" xfId="0" applyFont="1" applyFill="1"/>
    <xf numFmtId="0" fontId="12" fillId="0" borderId="0" xfId="0" applyFont="1" applyAlignment="1">
      <alignment horizontal="center" vertical="center"/>
    </xf>
    <xf numFmtId="0" fontId="12" fillId="0" borderId="13" xfId="0" applyFont="1" applyBorder="1"/>
    <xf numFmtId="0" fontId="12" fillId="0" borderId="0" xfId="0" applyFont="1" applyAlignment="1">
      <alignment vertical="center"/>
    </xf>
    <xf numFmtId="49" fontId="7" fillId="7" borderId="8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textRotation="90"/>
    </xf>
    <xf numFmtId="0" fontId="5" fillId="7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textRotation="90"/>
    </xf>
    <xf numFmtId="49" fontId="3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wrapText="1"/>
    </xf>
    <xf numFmtId="9" fontId="8" fillId="0" borderId="1" xfId="1" applyFont="1" applyBorder="1" applyAlignment="1">
      <alignment horizontal="right" vertical="center"/>
    </xf>
    <xf numFmtId="9" fontId="8" fillId="0" borderId="5" xfId="1" applyFont="1" applyBorder="1" applyAlignment="1">
      <alignment horizontal="right" vertical="center"/>
    </xf>
    <xf numFmtId="9" fontId="8" fillId="6" borderId="1" xfId="1" applyFont="1" applyFill="1" applyBorder="1" applyAlignment="1">
      <alignment horizontal="right" vertical="center"/>
    </xf>
    <xf numFmtId="9" fontId="8" fillId="6" borderId="5" xfId="1" applyFont="1" applyFill="1" applyBorder="1" applyAlignment="1">
      <alignment horizontal="right" vertical="center"/>
    </xf>
    <xf numFmtId="49" fontId="9" fillId="5" borderId="0" xfId="0" applyNumberFormat="1" applyFont="1" applyFill="1" applyAlignment="1">
      <alignment horizontal="right" vertical="center"/>
    </xf>
    <xf numFmtId="9" fontId="10" fillId="7" borderId="6" xfId="1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49" fontId="8" fillId="5" borderId="1" xfId="0" applyNumberFormat="1" applyFont="1" applyFill="1" applyBorder="1" applyAlignment="1">
      <alignment horizontal="center" vertical="center"/>
    </xf>
    <xf numFmtId="1" fontId="10" fillId="5" borderId="6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/>
    </xf>
  </cellXfs>
  <cellStyles count="5">
    <cellStyle name="20% - Accent1" xfId="2" builtinId="30"/>
    <cellStyle name="20% - Accent2" xfId="3" builtinId="34"/>
    <cellStyle name="20% - Accent6" xfId="4" builtinId="5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DFFE0"/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3"/>
          <c:order val="0"/>
          <c:tx>
            <c:v>Groups</c:v>
          </c:tx>
          <c:spPr>
            <a:solidFill>
              <a:srgbClr val="CCFFCC"/>
            </a:solidFill>
            <a:ln>
              <a:solidFill>
                <a:srgbClr val="ADADAD"/>
              </a:solidFill>
            </a:ln>
          </c:spPr>
          <c:dPt>
            <c:idx val="0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CA0-47DF-95F6-FED0745D7F90}"/>
              </c:ext>
            </c:extLst>
          </c:dPt>
          <c:dPt>
            <c:idx val="1"/>
            <c:bubble3D val="0"/>
            <c:spPr>
              <a:solidFill>
                <a:srgbClr val="99CCFF">
                  <a:alpha val="70029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9A-4B4D-A838-80A5A1204433}"/>
              </c:ext>
            </c:extLst>
          </c:dPt>
          <c:dPt>
            <c:idx val="2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9A-4B4D-A838-80A5A1204433}"/>
              </c:ext>
            </c:extLst>
          </c:dPt>
          <c:dPt>
            <c:idx val="3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9A-4B4D-A838-80A5A1204433}"/>
              </c:ext>
            </c:extLst>
          </c:dPt>
          <c:dPt>
            <c:idx val="4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9A-4B4D-A838-80A5A1204433}"/>
              </c:ext>
            </c:extLst>
          </c:dPt>
          <c:dPt>
            <c:idx val="5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9A-4B4D-A838-80A5A1204433}"/>
              </c:ext>
            </c:extLst>
          </c:dPt>
          <c:dPt>
            <c:idx val="6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9A-4B4D-A838-80A5A1204433}"/>
              </c:ext>
            </c:extLst>
          </c:dPt>
          <c:dPt>
            <c:idx val="7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9A-4B4D-A838-80A5A1204433}"/>
              </c:ext>
            </c:extLst>
          </c:dPt>
          <c:dPt>
            <c:idx val="8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9A-4B4D-A838-80A5A1204433}"/>
              </c:ext>
            </c:extLst>
          </c:dPt>
          <c:dPt>
            <c:idx val="9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9A-4B4D-A838-80A5A1204433}"/>
              </c:ext>
            </c:extLst>
          </c:dPt>
          <c:dPt>
            <c:idx val="10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9A-4B4D-A838-80A5A1204433}"/>
              </c:ext>
            </c:extLst>
          </c:dPt>
          <c:dPt>
            <c:idx val="11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9A-4B4D-A838-80A5A1204433}"/>
              </c:ext>
            </c:extLst>
          </c:dPt>
          <c:dPt>
            <c:idx val="12"/>
            <c:bubble3D val="0"/>
            <c:spPr>
              <a:solidFill>
                <a:srgbClr val="CCFFCC">
                  <a:alpha val="70416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9A-4B4D-A838-80A5A1204433}"/>
              </c:ext>
            </c:extLst>
          </c:dPt>
          <c:dPt>
            <c:idx val="13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99A-4B4D-A838-80A5A1204433}"/>
              </c:ext>
            </c:extLst>
          </c:dPt>
          <c:dPt>
            <c:idx val="14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99A-4B4D-A838-80A5A1204433}"/>
              </c:ext>
            </c:extLst>
          </c:dPt>
          <c:dPt>
            <c:idx val="15"/>
            <c:bubble3D val="0"/>
            <c:spPr>
              <a:solidFill>
                <a:srgbClr val="CCFFCC">
                  <a:alpha val="69802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99A-4B4D-A838-80A5A1204433}"/>
              </c:ext>
            </c:extLst>
          </c:dPt>
          <c:dPt>
            <c:idx val="16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99A-4B4D-A838-80A5A1204433}"/>
              </c:ext>
            </c:extLst>
          </c:dPt>
          <c:dPt>
            <c:idx val="17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99A-4B4D-A838-80A5A1204433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99A-4B4D-A838-80A5A1204433}"/>
              </c:ext>
            </c:extLst>
          </c:dPt>
          <c:dPt>
            <c:idx val="19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99A-4B4D-A838-80A5A1204433}"/>
              </c:ext>
            </c:extLst>
          </c:dPt>
          <c:dPt>
            <c:idx val="20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99A-4B4D-A838-80A5A1204433}"/>
              </c:ext>
            </c:extLst>
          </c:dPt>
          <c:dPt>
            <c:idx val="21"/>
            <c:bubble3D val="0"/>
            <c:spPr>
              <a:solidFill>
                <a:srgbClr val="CCFFCC">
                  <a:alpha val="70205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99A-4B4D-A838-80A5A1204433}"/>
              </c:ext>
            </c:extLst>
          </c:dPt>
          <c:dPt>
            <c:idx val="22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99A-4B4D-A838-80A5A1204433}"/>
              </c:ext>
            </c:extLst>
          </c:dPt>
          <c:dPt>
            <c:idx val="23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99A-4B4D-A838-80A5A1204433}"/>
              </c:ext>
            </c:extLst>
          </c:dPt>
          <c:dPt>
            <c:idx val="24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99A-4B4D-A838-80A5A1204433}"/>
              </c:ext>
            </c:extLst>
          </c:dPt>
          <c:dPt>
            <c:idx val="25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99A-4B4D-A838-80A5A1204433}"/>
              </c:ext>
            </c:extLst>
          </c:dPt>
          <c:dPt>
            <c:idx val="26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99A-4B4D-A838-80A5A1204433}"/>
              </c:ext>
            </c:extLst>
          </c:dPt>
          <c:dPt>
            <c:idx val="27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99A-4B4D-A838-80A5A1204433}"/>
              </c:ext>
            </c:extLst>
          </c:dPt>
          <c:dPt>
            <c:idx val="28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99A-4B4D-A838-80A5A1204433}"/>
              </c:ext>
            </c:extLst>
          </c:dPt>
          <c:dPt>
            <c:idx val="29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99A-4B4D-A838-80A5A1204433}"/>
              </c:ext>
            </c:extLst>
          </c:dPt>
          <c:dPt>
            <c:idx val="30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99A-4B4D-A838-80A5A1204433}"/>
              </c:ext>
            </c:extLst>
          </c:dPt>
          <c:dPt>
            <c:idx val="31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99A-4B4D-A838-80A5A1204433}"/>
              </c:ext>
            </c:extLst>
          </c:dPt>
          <c:dPt>
            <c:idx val="32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99A-4B4D-A838-80A5A1204433}"/>
              </c:ext>
            </c:extLst>
          </c:dPt>
          <c:dPt>
            <c:idx val="33"/>
            <c:bubble3D val="0"/>
            <c:spPr>
              <a:solidFill>
                <a:srgbClr val="CCFFCC">
                  <a:alpha val="70000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99A-4B4D-A838-80A5A1204433}"/>
              </c:ext>
            </c:extLst>
          </c:dPt>
          <c:dPt>
            <c:idx val="34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99A-4B4D-A838-80A5A1204433}"/>
              </c:ext>
            </c:extLst>
          </c:dPt>
          <c:dPt>
            <c:idx val="35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99A-4B4D-A838-80A5A1204433}"/>
              </c:ext>
            </c:extLst>
          </c:dPt>
          <c:dPt>
            <c:idx val="36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99A-4B4D-A838-80A5A1204433}"/>
              </c:ext>
            </c:extLst>
          </c:dPt>
          <c:dPt>
            <c:idx val="37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99A-4B4D-A838-80A5A1204433}"/>
              </c:ext>
            </c:extLst>
          </c:dPt>
          <c:dPt>
            <c:idx val="38"/>
            <c:bubble3D val="0"/>
            <c:spPr>
              <a:solidFill>
                <a:srgbClr val="CCFFCC">
                  <a:alpha val="70149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99A-4B4D-A838-80A5A1204433}"/>
              </c:ext>
            </c:extLst>
          </c:dPt>
          <c:dPt>
            <c:idx val="39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99A-4B4D-A838-80A5A1204433}"/>
              </c:ext>
            </c:extLst>
          </c:dPt>
          <c:dPt>
            <c:idx val="40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99A-4B4D-A838-80A5A1204433}"/>
              </c:ext>
            </c:extLst>
          </c:dPt>
          <c:dPt>
            <c:idx val="41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0-47DF-95F6-FED0745D7F90}"/>
              </c:ext>
            </c:extLst>
          </c:dPt>
          <c:dPt>
            <c:idx val="42"/>
            <c:bubble3D val="0"/>
            <c:spPr>
              <a:solidFill>
                <a:srgbClr val="FDFFE0">
                  <a:alpha val="69663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99A-4B4D-A838-80A5A1204433}"/>
              </c:ext>
            </c:extLst>
          </c:dPt>
          <c:dPt>
            <c:idx val="43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99A-4B4D-A838-80A5A1204433}"/>
              </c:ext>
            </c:extLst>
          </c:dPt>
          <c:dPt>
            <c:idx val="44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99A-4B4D-A838-80A5A1204433}"/>
              </c:ext>
            </c:extLst>
          </c:dPt>
          <c:dPt>
            <c:idx val="45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99A-4B4D-A838-80A5A1204433}"/>
              </c:ext>
            </c:extLst>
          </c:dPt>
          <c:dPt>
            <c:idx val="46"/>
            <c:bubble3D val="0"/>
            <c:spPr>
              <a:solidFill>
                <a:srgbClr val="CCFFCC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99A-4B4D-A838-80A5A1204433}"/>
              </c:ext>
            </c:extLst>
          </c:dPt>
          <c:dPt>
            <c:idx val="47"/>
            <c:bubble3D val="0"/>
            <c:spPr>
              <a:solidFill>
                <a:srgbClr val="FDFFE0">
                  <a:alpha val="69954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B963-5D4B-8427-7E19F265CE4F}"/>
              </c:ext>
            </c:extLst>
          </c:dPt>
          <c:cat>
            <c:strRef>
              <c:f>'adoption status'!$B$3:$B$50</c:f>
              <c:strCache>
                <c:ptCount val="48"/>
                <c:pt idx="1">
                  <c:v>F1</c:v>
                </c:pt>
                <c:pt idx="2">
                  <c:v>F2</c:v>
                </c:pt>
                <c:pt idx="3">
                  <c:v>F3</c:v>
                </c:pt>
                <c:pt idx="4">
                  <c:v>F4</c:v>
                </c:pt>
                <c:pt idx="5">
                  <c:v>F5</c:v>
                </c:pt>
                <c:pt idx="6">
                  <c:v>F6</c:v>
                </c:pt>
                <c:pt idx="7">
                  <c:v>F7</c:v>
                </c:pt>
                <c:pt idx="8">
                  <c:v>F8</c:v>
                </c:pt>
                <c:pt idx="9">
                  <c:v>F9</c:v>
                </c:pt>
                <c:pt idx="10">
                  <c:v>F10</c:v>
                </c:pt>
                <c:pt idx="12">
                  <c:v>R1</c:v>
                </c:pt>
                <c:pt idx="13">
                  <c:v>R2</c:v>
                </c:pt>
                <c:pt idx="15">
                  <c:v>D1</c:v>
                </c:pt>
                <c:pt idx="16">
                  <c:v>D2</c:v>
                </c:pt>
                <c:pt idx="17">
                  <c:v>D3</c:v>
                </c:pt>
                <c:pt idx="18">
                  <c:v>D4</c:v>
                </c:pt>
                <c:pt idx="19">
                  <c:v>D5</c:v>
                </c:pt>
                <c:pt idx="21">
                  <c:v>I1</c:v>
                </c:pt>
                <c:pt idx="22">
                  <c:v>I2</c:v>
                </c:pt>
                <c:pt idx="23">
                  <c:v>I3</c:v>
                </c:pt>
                <c:pt idx="24">
                  <c:v>I4</c:v>
                </c:pt>
                <c:pt idx="25">
                  <c:v>I5</c:v>
                </c:pt>
                <c:pt idx="26">
                  <c:v>I6</c:v>
                </c:pt>
                <c:pt idx="27">
                  <c:v>I7</c:v>
                </c:pt>
                <c:pt idx="28">
                  <c:v>I8</c:v>
                </c:pt>
                <c:pt idx="29">
                  <c:v>I9</c:v>
                </c:pt>
                <c:pt idx="30">
                  <c:v>I10</c:v>
                </c:pt>
                <c:pt idx="31">
                  <c:v>I11</c:v>
                </c:pt>
                <c:pt idx="33">
                  <c:v>V1</c:v>
                </c:pt>
                <c:pt idx="34">
                  <c:v>V2</c:v>
                </c:pt>
                <c:pt idx="35">
                  <c:v>V3</c:v>
                </c:pt>
                <c:pt idx="36">
                  <c:v>V4</c:v>
                </c:pt>
                <c:pt idx="38">
                  <c:v>S1</c:v>
                </c:pt>
                <c:pt idx="39">
                  <c:v>S2</c:v>
                </c:pt>
                <c:pt idx="40">
                  <c:v>S3</c:v>
                </c:pt>
                <c:pt idx="42">
                  <c:v>O1</c:v>
                </c:pt>
                <c:pt idx="43">
                  <c:v>O2</c:v>
                </c:pt>
                <c:pt idx="44">
                  <c:v>O3</c:v>
                </c:pt>
                <c:pt idx="45">
                  <c:v>O4</c:v>
                </c:pt>
                <c:pt idx="47">
                  <c:v>X1</c:v>
                </c:pt>
              </c:strCache>
            </c:strRef>
          </c:cat>
          <c:val>
            <c:numRef>
              <c:f>'adoption status'!$J$3:$J$50</c:f>
              <c:numCache>
                <c:formatCode>0</c:formatCode>
                <c:ptCount val="48"/>
                <c:pt idx="1">
                  <c:v>11</c:v>
                </c:pt>
                <c:pt idx="12">
                  <c:v>3</c:v>
                </c:pt>
                <c:pt idx="15">
                  <c:v>6</c:v>
                </c:pt>
                <c:pt idx="21">
                  <c:v>12</c:v>
                </c:pt>
                <c:pt idx="33">
                  <c:v>5</c:v>
                </c:pt>
                <c:pt idx="38">
                  <c:v>4</c:v>
                </c:pt>
                <c:pt idx="42">
                  <c:v>5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6-44D3-9C9A-31A24055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0"/>
          <c:order val="1"/>
          <c:tx>
            <c:strRef>
              <c:f>'adoption status'!$D$2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chemeClr val="tx1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B963-5D4B-8427-7E19F265CE4F}"/>
              </c:ext>
            </c:extLst>
          </c:dPt>
          <c:cat>
            <c:strRef>
              <c:f>'adoption status'!$B$3:$B$50</c:f>
              <c:strCache>
                <c:ptCount val="48"/>
                <c:pt idx="1">
                  <c:v>F1</c:v>
                </c:pt>
                <c:pt idx="2">
                  <c:v>F2</c:v>
                </c:pt>
                <c:pt idx="3">
                  <c:v>F3</c:v>
                </c:pt>
                <c:pt idx="4">
                  <c:v>F4</c:v>
                </c:pt>
                <c:pt idx="5">
                  <c:v>F5</c:v>
                </c:pt>
                <c:pt idx="6">
                  <c:v>F6</c:v>
                </c:pt>
                <c:pt idx="7">
                  <c:v>F7</c:v>
                </c:pt>
                <c:pt idx="8">
                  <c:v>F8</c:v>
                </c:pt>
                <c:pt idx="9">
                  <c:v>F9</c:v>
                </c:pt>
                <c:pt idx="10">
                  <c:v>F10</c:v>
                </c:pt>
                <c:pt idx="12">
                  <c:v>R1</c:v>
                </c:pt>
                <c:pt idx="13">
                  <c:v>R2</c:v>
                </c:pt>
                <c:pt idx="15">
                  <c:v>D1</c:v>
                </c:pt>
                <c:pt idx="16">
                  <c:v>D2</c:v>
                </c:pt>
                <c:pt idx="17">
                  <c:v>D3</c:v>
                </c:pt>
                <c:pt idx="18">
                  <c:v>D4</c:v>
                </c:pt>
                <c:pt idx="19">
                  <c:v>D5</c:v>
                </c:pt>
                <c:pt idx="21">
                  <c:v>I1</c:v>
                </c:pt>
                <c:pt idx="22">
                  <c:v>I2</c:v>
                </c:pt>
                <c:pt idx="23">
                  <c:v>I3</c:v>
                </c:pt>
                <c:pt idx="24">
                  <c:v>I4</c:v>
                </c:pt>
                <c:pt idx="25">
                  <c:v>I5</c:v>
                </c:pt>
                <c:pt idx="26">
                  <c:v>I6</c:v>
                </c:pt>
                <c:pt idx="27">
                  <c:v>I7</c:v>
                </c:pt>
                <c:pt idx="28">
                  <c:v>I8</c:v>
                </c:pt>
                <c:pt idx="29">
                  <c:v>I9</c:v>
                </c:pt>
                <c:pt idx="30">
                  <c:v>I10</c:v>
                </c:pt>
                <c:pt idx="31">
                  <c:v>I11</c:v>
                </c:pt>
                <c:pt idx="33">
                  <c:v>V1</c:v>
                </c:pt>
                <c:pt idx="34">
                  <c:v>V2</c:v>
                </c:pt>
                <c:pt idx="35">
                  <c:v>V3</c:v>
                </c:pt>
                <c:pt idx="36">
                  <c:v>V4</c:v>
                </c:pt>
                <c:pt idx="38">
                  <c:v>S1</c:v>
                </c:pt>
                <c:pt idx="39">
                  <c:v>S2</c:v>
                </c:pt>
                <c:pt idx="40">
                  <c:v>S3</c:v>
                </c:pt>
                <c:pt idx="42">
                  <c:v>O1</c:v>
                </c:pt>
                <c:pt idx="43">
                  <c:v>O2</c:v>
                </c:pt>
                <c:pt idx="44">
                  <c:v>O3</c:v>
                </c:pt>
                <c:pt idx="45">
                  <c:v>O4</c:v>
                </c:pt>
                <c:pt idx="47">
                  <c:v>X1</c:v>
                </c:pt>
              </c:strCache>
            </c:strRef>
          </c:cat>
          <c:val>
            <c:numRef>
              <c:f>'adoption status'!$D$3:$D$50</c:f>
              <c:numCache>
                <c:formatCode>0%</c:formatCode>
                <c:ptCount val="48"/>
                <c:pt idx="1">
                  <c:v>0.2</c:v>
                </c:pt>
                <c:pt idx="2">
                  <c:v>0.15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0.95</c:v>
                </c:pt>
                <c:pt idx="13">
                  <c:v>0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0.6</c:v>
                </c:pt>
                <c:pt idx="19">
                  <c:v>0</c:v>
                </c:pt>
                <c:pt idx="21">
                  <c:v>0.8</c:v>
                </c:pt>
                <c:pt idx="22">
                  <c:v>0.35</c:v>
                </c:pt>
                <c:pt idx="23">
                  <c:v>0.2</c:v>
                </c:pt>
                <c:pt idx="24">
                  <c:v>0.05</c:v>
                </c:pt>
                <c:pt idx="25">
                  <c:v>0.15</c:v>
                </c:pt>
                <c:pt idx="26">
                  <c:v>0</c:v>
                </c:pt>
                <c:pt idx="27">
                  <c:v>0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0.4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0.1</c:v>
                </c:pt>
                <c:pt idx="43">
                  <c:v>0</c:v>
                </c:pt>
                <c:pt idx="44">
                  <c:v>0</c:v>
                </c:pt>
                <c:pt idx="45">
                  <c:v>0.3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3-4546-BD08-0A9AD250D4A0}"/>
            </c:ext>
          </c:extLst>
        </c:ser>
        <c:ser>
          <c:idx val="2"/>
          <c:order val="2"/>
          <c:tx>
            <c:strRef>
              <c:f>'adoption status'!$E$2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rgbClr val="00B050">
                  <a:alpha val="51000"/>
                </a:srgb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'adoption status'!$B$3:$B$50</c:f>
              <c:strCache>
                <c:ptCount val="48"/>
                <c:pt idx="1">
                  <c:v>F1</c:v>
                </c:pt>
                <c:pt idx="2">
                  <c:v>F2</c:v>
                </c:pt>
                <c:pt idx="3">
                  <c:v>F3</c:v>
                </c:pt>
                <c:pt idx="4">
                  <c:v>F4</c:v>
                </c:pt>
                <c:pt idx="5">
                  <c:v>F5</c:v>
                </c:pt>
                <c:pt idx="6">
                  <c:v>F6</c:v>
                </c:pt>
                <c:pt idx="7">
                  <c:v>F7</c:v>
                </c:pt>
                <c:pt idx="8">
                  <c:v>F8</c:v>
                </c:pt>
                <c:pt idx="9">
                  <c:v>F9</c:v>
                </c:pt>
                <c:pt idx="10">
                  <c:v>F10</c:v>
                </c:pt>
                <c:pt idx="12">
                  <c:v>R1</c:v>
                </c:pt>
                <c:pt idx="13">
                  <c:v>R2</c:v>
                </c:pt>
                <c:pt idx="15">
                  <c:v>D1</c:v>
                </c:pt>
                <c:pt idx="16">
                  <c:v>D2</c:v>
                </c:pt>
                <c:pt idx="17">
                  <c:v>D3</c:v>
                </c:pt>
                <c:pt idx="18">
                  <c:v>D4</c:v>
                </c:pt>
                <c:pt idx="19">
                  <c:v>D5</c:v>
                </c:pt>
                <c:pt idx="21">
                  <c:v>I1</c:v>
                </c:pt>
                <c:pt idx="22">
                  <c:v>I2</c:v>
                </c:pt>
                <c:pt idx="23">
                  <c:v>I3</c:v>
                </c:pt>
                <c:pt idx="24">
                  <c:v>I4</c:v>
                </c:pt>
                <c:pt idx="25">
                  <c:v>I5</c:v>
                </c:pt>
                <c:pt idx="26">
                  <c:v>I6</c:v>
                </c:pt>
                <c:pt idx="27">
                  <c:v>I7</c:v>
                </c:pt>
                <c:pt idx="28">
                  <c:v>I8</c:v>
                </c:pt>
                <c:pt idx="29">
                  <c:v>I9</c:v>
                </c:pt>
                <c:pt idx="30">
                  <c:v>I10</c:v>
                </c:pt>
                <c:pt idx="31">
                  <c:v>I11</c:v>
                </c:pt>
                <c:pt idx="33">
                  <c:v>V1</c:v>
                </c:pt>
                <c:pt idx="34">
                  <c:v>V2</c:v>
                </c:pt>
                <c:pt idx="35">
                  <c:v>V3</c:v>
                </c:pt>
                <c:pt idx="36">
                  <c:v>V4</c:v>
                </c:pt>
                <c:pt idx="38">
                  <c:v>S1</c:v>
                </c:pt>
                <c:pt idx="39">
                  <c:v>S2</c:v>
                </c:pt>
                <c:pt idx="40">
                  <c:v>S3</c:v>
                </c:pt>
                <c:pt idx="42">
                  <c:v>O1</c:v>
                </c:pt>
                <c:pt idx="43">
                  <c:v>O2</c:v>
                </c:pt>
                <c:pt idx="44">
                  <c:v>O3</c:v>
                </c:pt>
                <c:pt idx="45">
                  <c:v>O4</c:v>
                </c:pt>
                <c:pt idx="47">
                  <c:v>X1</c:v>
                </c:pt>
              </c:strCache>
            </c:strRef>
          </c:cat>
          <c:val>
            <c:numRef>
              <c:f>'adoption status'!$E$3:$E$50</c:f>
              <c:numCache>
                <c:formatCode>0%</c:formatCode>
                <c:ptCount val="48"/>
                <c:pt idx="1">
                  <c:v>1</c:v>
                </c:pt>
                <c:pt idx="2">
                  <c:v>1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</c:v>
                </c:pt>
                <c:pt idx="19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0.75</c:v>
                </c:pt>
                <c:pt idx="25">
                  <c:v>0.75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0.5</c:v>
                </c:pt>
                <c:pt idx="45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B3-4546-BD08-0A9AD250D4A0}"/>
            </c:ext>
          </c:extLst>
        </c:ser>
        <c:ser>
          <c:idx val="1"/>
          <c:order val="3"/>
          <c:tx>
            <c:strRef>
              <c:f>{"Done"}</c:f>
              <c:strCache>
                <c:ptCount val="1"/>
                <c:pt idx="0">
                  <c:v>Done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DAF2D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strRef>
              <c:f>'adoption status'!$B$3:$B$50</c:f>
              <c:strCache>
                <c:ptCount val="48"/>
                <c:pt idx="1">
                  <c:v>F1</c:v>
                </c:pt>
                <c:pt idx="2">
                  <c:v>F2</c:v>
                </c:pt>
                <c:pt idx="3">
                  <c:v>F3</c:v>
                </c:pt>
                <c:pt idx="4">
                  <c:v>F4</c:v>
                </c:pt>
                <c:pt idx="5">
                  <c:v>F5</c:v>
                </c:pt>
                <c:pt idx="6">
                  <c:v>F6</c:v>
                </c:pt>
                <c:pt idx="7">
                  <c:v>F7</c:v>
                </c:pt>
                <c:pt idx="8">
                  <c:v>F8</c:v>
                </c:pt>
                <c:pt idx="9">
                  <c:v>F9</c:v>
                </c:pt>
                <c:pt idx="10">
                  <c:v>F10</c:v>
                </c:pt>
                <c:pt idx="12">
                  <c:v>R1</c:v>
                </c:pt>
                <c:pt idx="13">
                  <c:v>R2</c:v>
                </c:pt>
                <c:pt idx="15">
                  <c:v>D1</c:v>
                </c:pt>
                <c:pt idx="16">
                  <c:v>D2</c:v>
                </c:pt>
                <c:pt idx="17">
                  <c:v>D3</c:v>
                </c:pt>
                <c:pt idx="18">
                  <c:v>D4</c:v>
                </c:pt>
                <c:pt idx="19">
                  <c:v>D5</c:v>
                </c:pt>
                <c:pt idx="21">
                  <c:v>I1</c:v>
                </c:pt>
                <c:pt idx="22">
                  <c:v>I2</c:v>
                </c:pt>
                <c:pt idx="23">
                  <c:v>I3</c:v>
                </c:pt>
                <c:pt idx="24">
                  <c:v>I4</c:v>
                </c:pt>
                <c:pt idx="25">
                  <c:v>I5</c:v>
                </c:pt>
                <c:pt idx="26">
                  <c:v>I6</c:v>
                </c:pt>
                <c:pt idx="27">
                  <c:v>I7</c:v>
                </c:pt>
                <c:pt idx="28">
                  <c:v>I8</c:v>
                </c:pt>
                <c:pt idx="29">
                  <c:v>I9</c:v>
                </c:pt>
                <c:pt idx="30">
                  <c:v>I10</c:v>
                </c:pt>
                <c:pt idx="31">
                  <c:v>I11</c:v>
                </c:pt>
                <c:pt idx="33">
                  <c:v>V1</c:v>
                </c:pt>
                <c:pt idx="34">
                  <c:v>V2</c:v>
                </c:pt>
                <c:pt idx="35">
                  <c:v>V3</c:v>
                </c:pt>
                <c:pt idx="36">
                  <c:v>V4</c:v>
                </c:pt>
                <c:pt idx="38">
                  <c:v>S1</c:v>
                </c:pt>
                <c:pt idx="39">
                  <c:v>S2</c:v>
                </c:pt>
                <c:pt idx="40">
                  <c:v>S3</c:v>
                </c:pt>
                <c:pt idx="42">
                  <c:v>O1</c:v>
                </c:pt>
                <c:pt idx="43">
                  <c:v>O2</c:v>
                </c:pt>
                <c:pt idx="44">
                  <c:v>O3</c:v>
                </c:pt>
                <c:pt idx="45">
                  <c:v>O4</c:v>
                </c:pt>
                <c:pt idx="47">
                  <c:v>X1</c:v>
                </c:pt>
              </c:strCache>
            </c:strRef>
          </c:cat>
          <c:val>
            <c:numRef>
              <c:f>'adoption status'!$G$3:$G$50</c:f>
              <c:numCache>
                <c:formatCode>0%</c:formatCode>
                <c:ptCount val="48"/>
                <c:pt idx="1">
                  <c:v>-0.1</c:v>
                </c:pt>
                <c:pt idx="2">
                  <c:v>-0.1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-0.1</c:v>
                </c:pt>
                <c:pt idx="13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-0.1</c:v>
                </c:pt>
                <c:pt idx="33">
                  <c:v>-0.1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2">
                  <c:v>-0.1</c:v>
                </c:pt>
                <c:pt idx="43">
                  <c:v>-0.1</c:v>
                </c:pt>
                <c:pt idx="44">
                  <c:v>-0.1</c:v>
                </c:pt>
                <c:pt idx="45">
                  <c:v>-0.1</c:v>
                </c:pt>
                <c:pt idx="47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1-4BE7-91D4-3CB97AABA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70223"/>
        <c:axId val="1544042623"/>
      </c:radarChart>
      <c:catAx>
        <c:axId val="15439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2623"/>
        <c:crosses val="autoZero"/>
        <c:auto val="1"/>
        <c:lblAlgn val="ctr"/>
        <c:lblOffset val="100"/>
        <c:noMultiLvlLbl val="0"/>
      </c:catAx>
      <c:valAx>
        <c:axId val="1544042623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9702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3"/>
          <c:order val="0"/>
          <c:tx>
            <c:strRef>
              <c:f>{"Groups"}</c:f>
              <c:strCache>
                <c:ptCount val="1"/>
                <c:pt idx="0">
                  <c:v>Groups</c:v>
                </c:pt>
              </c:strCache>
            </c:strRef>
          </c:tx>
          <c:spPr>
            <a:ln>
              <a:solidFill>
                <a:srgbClr val="ADADAD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D-417D-8C09-5B7B8DA50FE5}"/>
              </c:ext>
            </c:extLst>
          </c:dPt>
          <c:dPt>
            <c:idx val="1"/>
            <c:bubble3D val="0"/>
            <c:spPr>
              <a:solidFill>
                <a:srgbClr val="99CCFF">
                  <a:alpha val="70000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BA-44AC-816D-ACE5EEBB08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BA-44AC-816D-ACE5EEBB08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BA-44AC-816D-ACE5EEBB08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BA-44AC-816D-ACE5EEBB08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BA-44AC-816D-ACE5EEBB08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BA-44AC-816D-ACE5EEBB08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BA-44AC-816D-ACE5EEBB08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BA-44AC-816D-ACE5EEBB08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BA-44AC-816D-ACE5EEBB08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5BA-44AC-816D-ACE5EEBB08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AD-417D-8C09-5B7B8DA50FE5}"/>
              </c:ext>
            </c:extLst>
          </c:dPt>
          <c:dPt>
            <c:idx val="12"/>
            <c:bubble3D val="0"/>
            <c:spPr>
              <a:solidFill>
                <a:srgbClr val="CCFFCC">
                  <a:alpha val="69806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5BA-44AC-816D-ACE5EEBB082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5BA-44AC-816D-ACE5EEBB082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5BA-44AC-816D-ACE5EEBB082C}"/>
              </c:ext>
            </c:extLst>
          </c:dPt>
          <c:dPt>
            <c:idx val="15"/>
            <c:bubble3D val="0"/>
            <c:spPr>
              <a:solidFill>
                <a:srgbClr val="CCFFCC">
                  <a:alpha val="70217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5BA-44AC-816D-ACE5EEBB082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5BA-44AC-816D-ACE5EEBB082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5BA-44AC-816D-ACE5EEBB082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5BA-44AC-816D-ACE5EEBB082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5BA-44AC-816D-ACE5EEBB082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5BA-44AC-816D-ACE5EEBB082C}"/>
              </c:ext>
            </c:extLst>
          </c:dPt>
          <c:dPt>
            <c:idx val="21"/>
            <c:bubble3D val="0"/>
            <c:spPr>
              <a:solidFill>
                <a:srgbClr val="CCFFCC">
                  <a:alpha val="70217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5BA-44AC-816D-ACE5EEBB082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5BA-44AC-816D-ACE5EEBB082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5BA-44AC-816D-ACE5EEBB082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5BA-44AC-816D-ACE5EEBB082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5BA-44AC-816D-ACE5EEBB082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5BA-44AC-816D-ACE5EEBB082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5BA-44AC-816D-ACE5EEBB082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5BA-44AC-816D-ACE5EEBB082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5BA-44AC-816D-ACE5EEBB082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5BA-44AC-816D-ACE5EEBB082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5BA-44AC-816D-ACE5EEBB082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5BA-44AC-816D-ACE5EEBB082C}"/>
              </c:ext>
            </c:extLst>
          </c:dPt>
          <c:dPt>
            <c:idx val="33"/>
            <c:bubble3D val="0"/>
            <c:spPr>
              <a:solidFill>
                <a:srgbClr val="CCFFCC">
                  <a:alpha val="70452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5BA-44AC-816D-ACE5EEBB082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5BA-44AC-816D-ACE5EEBB082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5BA-44AC-816D-ACE5EEBB082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5BA-44AC-816D-ACE5EEBB082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5BA-44AC-816D-ACE5EEBB082C}"/>
              </c:ext>
            </c:extLst>
          </c:dPt>
          <c:dPt>
            <c:idx val="38"/>
            <c:bubble3D val="0"/>
            <c:spPr>
              <a:solidFill>
                <a:srgbClr val="CCFFCC">
                  <a:alpha val="69918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5BA-44AC-816D-ACE5EEBB082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5BA-44AC-816D-ACE5EEBB082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5BA-44AC-816D-ACE5EEBB082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D-417D-8C09-5B7B8DA50FE5}"/>
              </c:ext>
            </c:extLst>
          </c:dPt>
          <c:dPt>
            <c:idx val="42"/>
            <c:bubble3D val="0"/>
            <c:spPr>
              <a:solidFill>
                <a:srgbClr val="FDFFE0">
                  <a:alpha val="70253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5BA-44AC-816D-ACE5EEBB082C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5BA-44AC-816D-ACE5EEBB082C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5BA-44AC-816D-ACE5EEBB082C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5BA-44AC-816D-ACE5EEBB082C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5BA-44AC-816D-ACE5EEBB082C}"/>
              </c:ext>
            </c:extLst>
          </c:dPt>
          <c:dPt>
            <c:idx val="47"/>
            <c:bubble3D val="0"/>
            <c:spPr>
              <a:solidFill>
                <a:srgbClr val="FDFFE0">
                  <a:alpha val="70253"/>
                </a:srgbClr>
              </a:solidFill>
              <a:ln>
                <a:solidFill>
                  <a:srgbClr val="ADAD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616-2D44-91EB-A23174B725D7}"/>
              </c:ext>
            </c:extLst>
          </c:dPt>
          <c:cat>
            <c:strRef>
              <c:f>'adoption status'!$H$3:$H$50</c:f>
              <c:strCache>
                <c:ptCount val="48"/>
                <c:pt idx="1">
                  <c:v>Training</c:v>
                </c:pt>
                <c:pt idx="2">
                  <c:v>Roles and Responsibilities</c:v>
                </c:pt>
                <c:pt idx="3">
                  <c:v>Toolchain Support</c:v>
                </c:pt>
                <c:pt idx="4">
                  <c:v>Global Security Goals / Requirements</c:v>
                </c:pt>
                <c:pt idx="5">
                  <c:v>Protect the Code</c:v>
                </c:pt>
                <c:pt idx="6">
                  <c:v>Ensure Release Integrity</c:v>
                </c:pt>
                <c:pt idx="7">
                  <c:v>Incident Response Plan</c:v>
                </c:pt>
                <c:pt idx="8">
                  <c:v>Decommissioning Plan</c:v>
                </c:pt>
                <c:pt idx="9">
                  <c:v>Threat Prioritization Plan</c:v>
                </c:pt>
                <c:pt idx="10">
                  <c:v>Deployment Plan</c:v>
                </c:pt>
                <c:pt idx="12">
                  <c:v>Element-level Security Requirements</c:v>
                </c:pt>
                <c:pt idx="15">
                  <c:v>Consider Security and Risk During Design</c:v>
                </c:pt>
                <c:pt idx="16">
                  <c:v>Design Review</c:v>
                </c:pt>
                <c:pt idx="17">
                  <c:v>Attack Surface Reduction</c:v>
                </c:pt>
                <c:pt idx="18">
                  <c:v>Threat Modeling</c:v>
                </c:pt>
                <c:pt idx="21">
                  <c:v>Use Approved Tools</c:v>
                </c:pt>
                <c:pt idx="22">
                  <c:v>Configure Process for Security</c:v>
                </c:pt>
                <c:pt idx="23">
                  <c:v>Configure Secure Settings by Default</c:v>
                </c:pt>
                <c:pt idx="24">
                  <c:v>Reuse Well-Secured Software</c:v>
                </c:pt>
                <c:pt idx="25">
                  <c:v>Use Secure Coding Practice</c:v>
                </c:pt>
                <c:pt idx="27">
                  <c:v>Static Analysis</c:v>
                </c:pt>
                <c:pt idx="28">
                  <c:v>Dynamic Program Analysis</c:v>
                </c:pt>
                <c:pt idx="30">
                  <c:v>Fuzz Testing</c:v>
                </c:pt>
                <c:pt idx="33">
                  <c:v>Penetration Testing</c:v>
                </c:pt>
                <c:pt idx="34">
                  <c:v>Threat Model Review</c:v>
                </c:pt>
                <c:pt idx="35">
                  <c:v>Attack Surface Analysis Review</c:v>
                </c:pt>
                <c:pt idx="38">
                  <c:v>Final Security Review</c:v>
                </c:pt>
                <c:pt idx="39">
                  <c:v>Archive</c:v>
                </c:pt>
                <c:pt idx="40">
                  <c:v>Release Gate</c:v>
                </c:pt>
                <c:pt idx="42">
                  <c:v>Identify and Confirm Vulnerabilities</c:v>
                </c:pt>
                <c:pt idx="43">
                  <c:v>Assess and Prioritize Remediation</c:v>
                </c:pt>
                <c:pt idx="44">
                  <c:v>Root Cause Vulnerabilities</c:v>
                </c:pt>
                <c:pt idx="45">
                  <c:v>Secure Deployment</c:v>
                </c:pt>
                <c:pt idx="47">
                  <c:v>Apply Decommissioning Protocol</c:v>
                </c:pt>
              </c:strCache>
            </c:strRef>
          </c:cat>
          <c:val>
            <c:numRef>
              <c:f>'adoption status'!$J$3:$J$50</c:f>
              <c:numCache>
                <c:formatCode>0</c:formatCode>
                <c:ptCount val="48"/>
                <c:pt idx="1">
                  <c:v>11</c:v>
                </c:pt>
                <c:pt idx="12">
                  <c:v>3</c:v>
                </c:pt>
                <c:pt idx="15">
                  <c:v>6</c:v>
                </c:pt>
                <c:pt idx="21">
                  <c:v>12</c:v>
                </c:pt>
                <c:pt idx="33">
                  <c:v>5</c:v>
                </c:pt>
                <c:pt idx="38">
                  <c:v>4</c:v>
                </c:pt>
                <c:pt idx="42">
                  <c:v>5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D-417D-8C09-5B7B8DA50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0"/>
          <c:order val="1"/>
          <c:tx>
            <c:strRef>
              <c:f>'adoption status'!$D$2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cat>
            <c:strRef>
              <c:f>'adoption status'!$H$3:$H$50</c:f>
              <c:strCache>
                <c:ptCount val="48"/>
                <c:pt idx="1">
                  <c:v>Training</c:v>
                </c:pt>
                <c:pt idx="2">
                  <c:v>Roles and Responsibilities</c:v>
                </c:pt>
                <c:pt idx="3">
                  <c:v>Toolchain Support</c:v>
                </c:pt>
                <c:pt idx="4">
                  <c:v>Global Security Goals / Requirements</c:v>
                </c:pt>
                <c:pt idx="5">
                  <c:v>Protect the Code</c:v>
                </c:pt>
                <c:pt idx="6">
                  <c:v>Ensure Release Integrity</c:v>
                </c:pt>
                <c:pt idx="7">
                  <c:v>Incident Response Plan</c:v>
                </c:pt>
                <c:pt idx="8">
                  <c:v>Decommissioning Plan</c:v>
                </c:pt>
                <c:pt idx="9">
                  <c:v>Threat Prioritization Plan</c:v>
                </c:pt>
                <c:pt idx="10">
                  <c:v>Deployment Plan</c:v>
                </c:pt>
                <c:pt idx="12">
                  <c:v>Element-level Security Requirements</c:v>
                </c:pt>
                <c:pt idx="15">
                  <c:v>Consider Security and Risk During Design</c:v>
                </c:pt>
                <c:pt idx="16">
                  <c:v>Design Review</c:v>
                </c:pt>
                <c:pt idx="17">
                  <c:v>Attack Surface Reduction</c:v>
                </c:pt>
                <c:pt idx="18">
                  <c:v>Threat Modeling</c:v>
                </c:pt>
                <c:pt idx="21">
                  <c:v>Use Approved Tools</c:v>
                </c:pt>
                <c:pt idx="22">
                  <c:v>Configure Process for Security</c:v>
                </c:pt>
                <c:pt idx="23">
                  <c:v>Configure Secure Settings by Default</c:v>
                </c:pt>
                <c:pt idx="24">
                  <c:v>Reuse Well-Secured Software</c:v>
                </c:pt>
                <c:pt idx="25">
                  <c:v>Use Secure Coding Practice</c:v>
                </c:pt>
                <c:pt idx="27">
                  <c:v>Static Analysis</c:v>
                </c:pt>
                <c:pt idx="28">
                  <c:v>Dynamic Program Analysis</c:v>
                </c:pt>
                <c:pt idx="30">
                  <c:v>Fuzz Testing</c:v>
                </c:pt>
                <c:pt idx="33">
                  <c:v>Penetration Testing</c:v>
                </c:pt>
                <c:pt idx="34">
                  <c:v>Threat Model Review</c:v>
                </c:pt>
                <c:pt idx="35">
                  <c:v>Attack Surface Analysis Review</c:v>
                </c:pt>
                <c:pt idx="38">
                  <c:v>Final Security Review</c:v>
                </c:pt>
                <c:pt idx="39">
                  <c:v>Archive</c:v>
                </c:pt>
                <c:pt idx="40">
                  <c:v>Release Gate</c:v>
                </c:pt>
                <c:pt idx="42">
                  <c:v>Identify and Confirm Vulnerabilities</c:v>
                </c:pt>
                <c:pt idx="43">
                  <c:v>Assess and Prioritize Remediation</c:v>
                </c:pt>
                <c:pt idx="44">
                  <c:v>Root Cause Vulnerabilities</c:v>
                </c:pt>
                <c:pt idx="45">
                  <c:v>Secure Deployment</c:v>
                </c:pt>
                <c:pt idx="47">
                  <c:v>Apply Decommissioning Protocol</c:v>
                </c:pt>
              </c:strCache>
            </c:strRef>
          </c:cat>
          <c:val>
            <c:numRef>
              <c:f>'adoption status'!$D$3:$D$50</c:f>
              <c:numCache>
                <c:formatCode>0%</c:formatCode>
                <c:ptCount val="48"/>
                <c:pt idx="1">
                  <c:v>0.2</c:v>
                </c:pt>
                <c:pt idx="2">
                  <c:v>0.15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0.95</c:v>
                </c:pt>
                <c:pt idx="13">
                  <c:v>0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0.6</c:v>
                </c:pt>
                <c:pt idx="19">
                  <c:v>0</c:v>
                </c:pt>
                <c:pt idx="21">
                  <c:v>0.8</c:v>
                </c:pt>
                <c:pt idx="22">
                  <c:v>0.35</c:v>
                </c:pt>
                <c:pt idx="23">
                  <c:v>0.2</c:v>
                </c:pt>
                <c:pt idx="24">
                  <c:v>0.05</c:v>
                </c:pt>
                <c:pt idx="25">
                  <c:v>0.15</c:v>
                </c:pt>
                <c:pt idx="26">
                  <c:v>0</c:v>
                </c:pt>
                <c:pt idx="27">
                  <c:v>0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0.4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0.1</c:v>
                </c:pt>
                <c:pt idx="43">
                  <c:v>0</c:v>
                </c:pt>
                <c:pt idx="44">
                  <c:v>0</c:v>
                </c:pt>
                <c:pt idx="45">
                  <c:v>0.3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C-47DB-AB33-493B5D0CCDFB}"/>
            </c:ext>
          </c:extLst>
        </c:ser>
        <c:ser>
          <c:idx val="2"/>
          <c:order val="2"/>
          <c:tx>
            <c:strRef>
              <c:f>'adoption status'!$E$2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'adoption status'!$H$3:$H$50</c:f>
              <c:strCache>
                <c:ptCount val="48"/>
                <c:pt idx="1">
                  <c:v>Training</c:v>
                </c:pt>
                <c:pt idx="2">
                  <c:v>Roles and Responsibilities</c:v>
                </c:pt>
                <c:pt idx="3">
                  <c:v>Toolchain Support</c:v>
                </c:pt>
                <c:pt idx="4">
                  <c:v>Global Security Goals / Requirements</c:v>
                </c:pt>
                <c:pt idx="5">
                  <c:v>Protect the Code</c:v>
                </c:pt>
                <c:pt idx="6">
                  <c:v>Ensure Release Integrity</c:v>
                </c:pt>
                <c:pt idx="7">
                  <c:v>Incident Response Plan</c:v>
                </c:pt>
                <c:pt idx="8">
                  <c:v>Decommissioning Plan</c:v>
                </c:pt>
                <c:pt idx="9">
                  <c:v>Threat Prioritization Plan</c:v>
                </c:pt>
                <c:pt idx="10">
                  <c:v>Deployment Plan</c:v>
                </c:pt>
                <c:pt idx="12">
                  <c:v>Element-level Security Requirements</c:v>
                </c:pt>
                <c:pt idx="15">
                  <c:v>Consider Security and Risk During Design</c:v>
                </c:pt>
                <c:pt idx="16">
                  <c:v>Design Review</c:v>
                </c:pt>
                <c:pt idx="17">
                  <c:v>Attack Surface Reduction</c:v>
                </c:pt>
                <c:pt idx="18">
                  <c:v>Threat Modeling</c:v>
                </c:pt>
                <c:pt idx="21">
                  <c:v>Use Approved Tools</c:v>
                </c:pt>
                <c:pt idx="22">
                  <c:v>Configure Process for Security</c:v>
                </c:pt>
                <c:pt idx="23">
                  <c:v>Configure Secure Settings by Default</c:v>
                </c:pt>
                <c:pt idx="24">
                  <c:v>Reuse Well-Secured Software</c:v>
                </c:pt>
                <c:pt idx="25">
                  <c:v>Use Secure Coding Practice</c:v>
                </c:pt>
                <c:pt idx="27">
                  <c:v>Static Analysis</c:v>
                </c:pt>
                <c:pt idx="28">
                  <c:v>Dynamic Program Analysis</c:v>
                </c:pt>
                <c:pt idx="30">
                  <c:v>Fuzz Testing</c:v>
                </c:pt>
                <c:pt idx="33">
                  <c:v>Penetration Testing</c:v>
                </c:pt>
                <c:pt idx="34">
                  <c:v>Threat Model Review</c:v>
                </c:pt>
                <c:pt idx="35">
                  <c:v>Attack Surface Analysis Review</c:v>
                </c:pt>
                <c:pt idx="38">
                  <c:v>Final Security Review</c:v>
                </c:pt>
                <c:pt idx="39">
                  <c:v>Archive</c:v>
                </c:pt>
                <c:pt idx="40">
                  <c:v>Release Gate</c:v>
                </c:pt>
                <c:pt idx="42">
                  <c:v>Identify and Confirm Vulnerabilities</c:v>
                </c:pt>
                <c:pt idx="43">
                  <c:v>Assess and Prioritize Remediation</c:v>
                </c:pt>
                <c:pt idx="44">
                  <c:v>Root Cause Vulnerabilities</c:v>
                </c:pt>
                <c:pt idx="45">
                  <c:v>Secure Deployment</c:v>
                </c:pt>
                <c:pt idx="47">
                  <c:v>Apply Decommissioning Protocol</c:v>
                </c:pt>
              </c:strCache>
            </c:strRef>
          </c:cat>
          <c:val>
            <c:numRef>
              <c:f>'adoption status'!$E$3:$E$50</c:f>
              <c:numCache>
                <c:formatCode>0%</c:formatCode>
                <c:ptCount val="48"/>
                <c:pt idx="1">
                  <c:v>1</c:v>
                </c:pt>
                <c:pt idx="2">
                  <c:v>1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</c:v>
                </c:pt>
                <c:pt idx="19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0.75</c:v>
                </c:pt>
                <c:pt idx="25">
                  <c:v>0.75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0.5</c:v>
                </c:pt>
                <c:pt idx="45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C-47DB-AB33-493B5D0CCDFB}"/>
            </c:ext>
          </c:extLst>
        </c:ser>
        <c:ser>
          <c:idx val="1"/>
          <c:order val="3"/>
          <c:tx>
            <c:strRef>
              <c:f>{"Done"}</c:f>
              <c:strCache>
                <c:ptCount val="1"/>
                <c:pt idx="0">
                  <c:v>Done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B5E6A2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strRef>
              <c:f>'adoption status'!$H$3:$H$50</c:f>
              <c:strCache>
                <c:ptCount val="48"/>
                <c:pt idx="1">
                  <c:v>Training</c:v>
                </c:pt>
                <c:pt idx="2">
                  <c:v>Roles and Responsibilities</c:v>
                </c:pt>
                <c:pt idx="3">
                  <c:v>Toolchain Support</c:v>
                </c:pt>
                <c:pt idx="4">
                  <c:v>Global Security Goals / Requirements</c:v>
                </c:pt>
                <c:pt idx="5">
                  <c:v>Protect the Code</c:v>
                </c:pt>
                <c:pt idx="6">
                  <c:v>Ensure Release Integrity</c:v>
                </c:pt>
                <c:pt idx="7">
                  <c:v>Incident Response Plan</c:v>
                </c:pt>
                <c:pt idx="8">
                  <c:v>Decommissioning Plan</c:v>
                </c:pt>
                <c:pt idx="9">
                  <c:v>Threat Prioritization Plan</c:v>
                </c:pt>
                <c:pt idx="10">
                  <c:v>Deployment Plan</c:v>
                </c:pt>
                <c:pt idx="12">
                  <c:v>Element-level Security Requirements</c:v>
                </c:pt>
                <c:pt idx="15">
                  <c:v>Consider Security and Risk During Design</c:v>
                </c:pt>
                <c:pt idx="16">
                  <c:v>Design Review</c:v>
                </c:pt>
                <c:pt idx="17">
                  <c:v>Attack Surface Reduction</c:v>
                </c:pt>
                <c:pt idx="18">
                  <c:v>Threat Modeling</c:v>
                </c:pt>
                <c:pt idx="21">
                  <c:v>Use Approved Tools</c:v>
                </c:pt>
                <c:pt idx="22">
                  <c:v>Configure Process for Security</c:v>
                </c:pt>
                <c:pt idx="23">
                  <c:v>Configure Secure Settings by Default</c:v>
                </c:pt>
                <c:pt idx="24">
                  <c:v>Reuse Well-Secured Software</c:v>
                </c:pt>
                <c:pt idx="25">
                  <c:v>Use Secure Coding Practice</c:v>
                </c:pt>
                <c:pt idx="27">
                  <c:v>Static Analysis</c:v>
                </c:pt>
                <c:pt idx="28">
                  <c:v>Dynamic Program Analysis</c:v>
                </c:pt>
                <c:pt idx="30">
                  <c:v>Fuzz Testing</c:v>
                </c:pt>
                <c:pt idx="33">
                  <c:v>Penetration Testing</c:v>
                </c:pt>
                <c:pt idx="34">
                  <c:v>Threat Model Review</c:v>
                </c:pt>
                <c:pt idx="35">
                  <c:v>Attack Surface Analysis Review</c:v>
                </c:pt>
                <c:pt idx="38">
                  <c:v>Final Security Review</c:v>
                </c:pt>
                <c:pt idx="39">
                  <c:v>Archive</c:v>
                </c:pt>
                <c:pt idx="40">
                  <c:v>Release Gate</c:v>
                </c:pt>
                <c:pt idx="42">
                  <c:v>Identify and Confirm Vulnerabilities</c:v>
                </c:pt>
                <c:pt idx="43">
                  <c:v>Assess and Prioritize Remediation</c:v>
                </c:pt>
                <c:pt idx="44">
                  <c:v>Root Cause Vulnerabilities</c:v>
                </c:pt>
                <c:pt idx="45">
                  <c:v>Secure Deployment</c:v>
                </c:pt>
                <c:pt idx="47">
                  <c:v>Apply Decommissioning Protocol</c:v>
                </c:pt>
              </c:strCache>
            </c:strRef>
          </c:cat>
          <c:val>
            <c:numRef>
              <c:f>'adoption status'!$G$3:$G$50</c:f>
              <c:numCache>
                <c:formatCode>0%</c:formatCode>
                <c:ptCount val="48"/>
                <c:pt idx="1">
                  <c:v>-0.1</c:v>
                </c:pt>
                <c:pt idx="2">
                  <c:v>-0.1</c:v>
                </c:pt>
                <c:pt idx="3">
                  <c:v>0.4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-0.1</c:v>
                </c:pt>
                <c:pt idx="13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-0.1</c:v>
                </c:pt>
                <c:pt idx="33">
                  <c:v>-0.1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2">
                  <c:v>-0.1</c:v>
                </c:pt>
                <c:pt idx="43">
                  <c:v>-0.1</c:v>
                </c:pt>
                <c:pt idx="44">
                  <c:v>-0.1</c:v>
                </c:pt>
                <c:pt idx="45">
                  <c:v>-0.1</c:v>
                </c:pt>
                <c:pt idx="47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D-417D-8C09-5B7B8DA50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70223"/>
        <c:axId val="1544042623"/>
      </c:radarChart>
      <c:catAx>
        <c:axId val="15439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2623"/>
        <c:crosses val="autoZero"/>
        <c:auto val="1"/>
        <c:lblAlgn val="ctr"/>
        <c:lblOffset val="100"/>
        <c:noMultiLvlLbl val="0"/>
      </c:catAx>
      <c:valAx>
        <c:axId val="1544042623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9702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</xdr:row>
      <xdr:rowOff>825500</xdr:rowOff>
    </xdr:from>
    <xdr:to>
      <xdr:col>20</xdr:col>
      <xdr:colOff>752475</xdr:colOff>
      <xdr:row>35</xdr:row>
      <xdr:rowOff>190500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E58C5A5C-1D58-A40B-5EE5-3C7E7867B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24</xdr:col>
      <xdr:colOff>285750</xdr:colOff>
      <xdr:row>65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F1941-508A-4549-AC4E-A776A2FEA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120649</xdr:colOff>
      <xdr:row>20</xdr:row>
      <xdr:rowOff>180974</xdr:rowOff>
    </xdr:from>
    <xdr:to>
      <xdr:col>15</xdr:col>
      <xdr:colOff>368299</xdr:colOff>
      <xdr:row>23</xdr:row>
      <xdr:rowOff>34924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3EA62A-4D66-5462-94ED-BF4FA00BABBC}"/>
            </a:ext>
            <a:ext uri="{147F2762-F138-4A5C-976F-8EAC2B608ADB}">
              <a16:predDERef xmlns:a16="http://schemas.microsoft.com/office/drawing/2014/main" pred="{349F1941-508A-4549-AC4E-A776A2FEA913}"/>
            </a:ext>
          </a:extLst>
        </xdr:cNvPr>
        <xdr:cNvSpPr txBox="1"/>
      </xdr:nvSpPr>
      <xdr:spPr>
        <a:xfrm rot="2507430">
          <a:off x="8870949" y="4244974"/>
          <a:ext cx="1593850" cy="4635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Foundation</a:t>
          </a:r>
        </a:p>
      </xdr:txBody>
    </xdr:sp>
    <xdr:clientData/>
  </xdr:twoCellAnchor>
  <xdr:twoCellAnchor editAs="absolute">
    <xdr:from>
      <xdr:col>8</xdr:col>
      <xdr:colOff>31671</xdr:colOff>
      <xdr:row>47</xdr:row>
      <xdr:rowOff>23951</xdr:rowOff>
    </xdr:from>
    <xdr:to>
      <xdr:col>11</xdr:col>
      <xdr:colOff>252226</xdr:colOff>
      <xdr:row>49</xdr:row>
      <xdr:rowOff>58876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4B1BFA-B9EE-499F-903C-FAF43E33AF7C}"/>
            </a:ext>
            <a:ext uri="{147F2762-F138-4A5C-976F-8EAC2B608ADB}">
              <a16:predDERef xmlns:a16="http://schemas.microsoft.com/office/drawing/2014/main" pred="{733EA62A-4D66-5462-94ED-BF4FA00BABBC}"/>
            </a:ext>
          </a:extLst>
        </xdr:cNvPr>
        <xdr:cNvSpPr txBox="1"/>
      </xdr:nvSpPr>
      <xdr:spPr>
        <a:xfrm rot="11873247">
          <a:off x="5416471" y="9625151"/>
          <a:ext cx="2239855" cy="4667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Implementation</a:t>
          </a:r>
        </a:p>
      </xdr:txBody>
    </xdr:sp>
    <xdr:clientData/>
  </xdr:twoCellAnchor>
  <xdr:twoCellAnchor editAs="absolute">
    <xdr:from>
      <xdr:col>7</xdr:col>
      <xdr:colOff>203837</xdr:colOff>
      <xdr:row>18</xdr:row>
      <xdr:rowOff>81830</xdr:rowOff>
    </xdr:from>
    <xdr:to>
      <xdr:col>11</xdr:col>
      <xdr:colOff>99082</xdr:colOff>
      <xdr:row>22</xdr:row>
      <xdr:rowOff>81946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C77DC8-3925-4545-BA47-C41BD23014CC}"/>
            </a:ext>
            <a:ext uri="{147F2762-F138-4A5C-976F-8EAC2B608ADB}">
              <a16:predDERef xmlns:a16="http://schemas.microsoft.com/office/drawing/2014/main" pred="{2C4B1BFA-B9EE-499F-903C-FAF43E33AF7C}"/>
            </a:ext>
          </a:extLst>
        </xdr:cNvPr>
        <xdr:cNvSpPr txBox="1"/>
      </xdr:nvSpPr>
      <xdr:spPr>
        <a:xfrm rot="19883372">
          <a:off x="4915537" y="3739430"/>
          <a:ext cx="2587645" cy="812916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Operation / Decommissioning</a:t>
          </a:r>
        </a:p>
      </xdr:txBody>
    </xdr:sp>
    <xdr:clientData/>
  </xdr:twoCellAnchor>
  <xdr:twoCellAnchor editAs="absolute">
    <xdr:from>
      <xdr:col>15</xdr:col>
      <xdr:colOff>397896</xdr:colOff>
      <xdr:row>30</xdr:row>
      <xdr:rowOff>15475</xdr:rowOff>
    </xdr:from>
    <xdr:to>
      <xdr:col>16</xdr:col>
      <xdr:colOff>181996</xdr:colOff>
      <xdr:row>40</xdr:row>
      <xdr:rowOff>79133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B560A-11C9-4B91-B6E0-B8364BD7EB1C}"/>
            </a:ext>
            <a:ext uri="{147F2762-F138-4A5C-976F-8EAC2B608ADB}">
              <a16:predDERef xmlns:a16="http://schemas.microsoft.com/office/drawing/2014/main" pred="{BEC77DC8-3925-4545-BA47-C41BD23014CC}"/>
            </a:ext>
          </a:extLst>
        </xdr:cNvPr>
        <xdr:cNvSpPr txBox="1"/>
      </xdr:nvSpPr>
      <xdr:spPr>
        <a:xfrm rot="5723219">
          <a:off x="9675167" y="6930704"/>
          <a:ext cx="2095658" cy="4572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Requirements</a:t>
          </a:r>
        </a:p>
      </xdr:txBody>
    </xdr:sp>
    <xdr:clientData/>
  </xdr:twoCellAnchor>
  <xdr:twoCellAnchor editAs="absolute">
    <xdr:from>
      <xdr:col>14</xdr:col>
      <xdr:colOff>403224</xdr:colOff>
      <xdr:row>41</xdr:row>
      <xdr:rowOff>3175</xdr:rowOff>
    </xdr:from>
    <xdr:to>
      <xdr:col>15</xdr:col>
      <xdr:colOff>187324</xdr:colOff>
      <xdr:row>45</xdr:row>
      <xdr:rowOff>330200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7A2B8E-A051-45E9-8FB7-9C4D62CC451D}"/>
            </a:ext>
            <a:ext uri="{147F2762-F138-4A5C-976F-8EAC2B608ADB}">
              <a16:predDERef xmlns:a16="http://schemas.microsoft.com/office/drawing/2014/main" pred="{500B560A-11C9-4B91-B6E0-B8364BD7EB1C}"/>
            </a:ext>
          </a:extLst>
        </xdr:cNvPr>
        <xdr:cNvSpPr txBox="1"/>
      </xdr:nvSpPr>
      <xdr:spPr>
        <a:xfrm rot="7742131">
          <a:off x="9485311" y="8675688"/>
          <a:ext cx="1139825" cy="4572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Design</a:t>
          </a:r>
        </a:p>
      </xdr:txBody>
    </xdr:sp>
    <xdr:clientData/>
  </xdr:twoCellAnchor>
  <xdr:twoCellAnchor editAs="absolute">
    <xdr:from>
      <xdr:col>6</xdr:col>
      <xdr:colOff>128955</xdr:colOff>
      <xdr:row>32</xdr:row>
      <xdr:rowOff>35690</xdr:rowOff>
    </xdr:from>
    <xdr:to>
      <xdr:col>6</xdr:col>
      <xdr:colOff>586155</xdr:colOff>
      <xdr:row>40</xdr:row>
      <xdr:rowOff>195341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B6F6E7B-0D23-40F6-9AB0-07DA15D4CA7E}"/>
            </a:ext>
            <a:ext uri="{147F2762-F138-4A5C-976F-8EAC2B608ADB}">
              <a16:predDERef xmlns:a16="http://schemas.microsoft.com/office/drawing/2014/main" pred="{877A2B8E-A051-45E9-8FB7-9C4D62CC451D}"/>
            </a:ext>
          </a:extLst>
        </xdr:cNvPr>
        <xdr:cNvSpPr txBox="1"/>
      </xdr:nvSpPr>
      <xdr:spPr>
        <a:xfrm rot="15528899">
          <a:off x="3503529" y="7202116"/>
          <a:ext cx="1785251" cy="4572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Verification</a:t>
          </a:r>
        </a:p>
      </xdr:txBody>
    </xdr:sp>
    <xdr:clientData/>
  </xdr:twoCellAnchor>
  <xdr:twoCellAnchor editAs="absolute">
    <xdr:from>
      <xdr:col>6</xdr:col>
      <xdr:colOff>339725</xdr:colOff>
      <xdr:row>23</xdr:row>
      <xdr:rowOff>136525</xdr:rowOff>
    </xdr:from>
    <xdr:to>
      <xdr:col>7</xdr:col>
      <xdr:colOff>123825</xdr:colOff>
      <xdr:row>31</xdr:row>
      <xdr:rowOff>146050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4FBAD68-87A7-4368-9B25-220AF97FCEE5}"/>
            </a:ext>
            <a:ext uri="{147F2762-F138-4A5C-976F-8EAC2B608ADB}">
              <a16:predDERef xmlns:a16="http://schemas.microsoft.com/office/drawing/2014/main" pred="{1B6F6E7B-0D23-40F6-9AB0-07DA15D4CA7E}"/>
            </a:ext>
          </a:extLst>
        </xdr:cNvPr>
        <xdr:cNvSpPr txBox="1"/>
      </xdr:nvSpPr>
      <xdr:spPr>
        <a:xfrm rot="17393110">
          <a:off x="3789362" y="5399088"/>
          <a:ext cx="1635125" cy="4572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Release</a:t>
          </a:r>
        </a:p>
      </xdr:txBody>
    </xdr:sp>
    <xdr:clientData/>
  </xdr:twoCellAnchor>
  <xdr:twoCellAnchor>
    <xdr:from>
      <xdr:col>19</xdr:col>
      <xdr:colOff>266700</xdr:colOff>
      <xdr:row>51</xdr:row>
      <xdr:rowOff>85725</xdr:rowOff>
    </xdr:from>
    <xdr:to>
      <xdr:col>19</xdr:col>
      <xdr:colOff>428625</xdr:colOff>
      <xdr:row>51</xdr:row>
      <xdr:rowOff>247650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6D8B0AF-6C2E-284E-A088-393F170836EC}"/>
            </a:ext>
          </a:extLst>
        </xdr:cNvPr>
        <xdr:cNvSpPr>
          <a:spLocks noChangeAspect="1"/>
        </xdr:cNvSpPr>
      </xdr:nvSpPr>
      <xdr:spPr>
        <a:xfrm>
          <a:off x="2374900" y="1673225"/>
          <a:ext cx="161925" cy="161925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A721-35FE-0047-9069-C8FE007E7EAC}">
  <dimension ref="A1:J54"/>
  <sheetViews>
    <sheetView tabSelected="1" zoomScaleNormal="100" workbookViewId="0">
      <selection activeCell="D21" sqref="D21"/>
    </sheetView>
  </sheetViews>
  <sheetFormatPr baseColWidth="10" defaultColWidth="11" defaultRowHeight="15.75" customHeight="1" x14ac:dyDescent="0.2"/>
  <cols>
    <col min="1" max="1" width="3.5" customWidth="1"/>
    <col min="2" max="2" width="4.33203125" customWidth="1"/>
    <col min="3" max="3" width="41.1640625" customWidth="1"/>
    <col min="4" max="5" width="6.5" bestFit="1" customWidth="1"/>
    <col min="6" max="6" width="8.6640625" style="1" customWidth="1"/>
    <col min="7" max="7" width="6.5" bestFit="1" customWidth="1"/>
    <col min="8" max="8" width="35.5" bestFit="1" customWidth="1"/>
    <col min="9" max="9" width="3.1640625" customWidth="1"/>
    <col min="10" max="10" width="3.5" bestFit="1" customWidth="1"/>
  </cols>
  <sheetData>
    <row r="1" spans="1:10" ht="33.75" customHeight="1" x14ac:dyDescent="0.2">
      <c r="A1" s="53" t="s">
        <v>2</v>
      </c>
      <c r="B1" s="53" t="s">
        <v>3</v>
      </c>
      <c r="C1" s="54" t="s">
        <v>4</v>
      </c>
      <c r="D1" s="52" t="s">
        <v>0</v>
      </c>
      <c r="E1" s="52"/>
      <c r="F1" s="55" t="s">
        <v>5</v>
      </c>
      <c r="G1" s="51" t="s">
        <v>1</v>
      </c>
      <c r="H1" s="51"/>
      <c r="I1" s="51"/>
      <c r="J1" s="51"/>
    </row>
    <row r="2" spans="1:10" ht="76" customHeight="1" x14ac:dyDescent="0.2">
      <c r="A2" s="53"/>
      <c r="B2" s="53"/>
      <c r="C2" s="54"/>
      <c r="D2" s="2" t="s">
        <v>101</v>
      </c>
      <c r="E2" s="2" t="s">
        <v>102</v>
      </c>
      <c r="F2" s="55"/>
      <c r="G2" s="49" t="s">
        <v>100</v>
      </c>
      <c r="H2" s="3" t="s">
        <v>6</v>
      </c>
      <c r="I2" s="4" t="s">
        <v>7</v>
      </c>
      <c r="J2" s="4" t="s">
        <v>8</v>
      </c>
    </row>
    <row r="3" spans="1:10" ht="7.5" customHeight="1" x14ac:dyDescent="0.2">
      <c r="A3" s="5"/>
      <c r="B3" s="6"/>
      <c r="C3" s="7"/>
      <c r="D3" s="7"/>
      <c r="E3" s="7"/>
      <c r="F3" s="8"/>
      <c r="G3" s="9"/>
      <c r="H3" s="9"/>
      <c r="I3" s="10">
        <v>1</v>
      </c>
      <c r="J3" s="9"/>
    </row>
    <row r="4" spans="1:10" ht="16" x14ac:dyDescent="0.2">
      <c r="A4" s="50" t="s">
        <v>9</v>
      </c>
      <c r="B4" s="11" t="s">
        <v>10</v>
      </c>
      <c r="C4" s="25" t="s">
        <v>11</v>
      </c>
      <c r="D4" s="56">
        <v>0.2</v>
      </c>
      <c r="E4" s="57">
        <v>1</v>
      </c>
      <c r="F4" s="13">
        <v>1</v>
      </c>
      <c r="G4" s="61">
        <f t="shared" ref="G4:G13" si="0">IF( D4=F4, F4, -10%)</f>
        <v>-0.1</v>
      </c>
      <c r="H4" s="62" t="str">
        <f t="shared" ref="H4:H13" si="1">IF( E4, C4, "")</f>
        <v>Training</v>
      </c>
      <c r="I4" s="33">
        <v>1</v>
      </c>
      <c r="J4" s="33">
        <f>SUM(I3:I14)-1</f>
        <v>11</v>
      </c>
    </row>
    <row r="5" spans="1:10" ht="17" x14ac:dyDescent="0.2">
      <c r="A5" s="50"/>
      <c r="B5" s="11" t="s">
        <v>12</v>
      </c>
      <c r="C5" s="14" t="s">
        <v>13</v>
      </c>
      <c r="D5" s="56">
        <v>0.15</v>
      </c>
      <c r="E5" s="57">
        <v>1</v>
      </c>
      <c r="F5" s="15">
        <v>1</v>
      </c>
      <c r="G5" s="61">
        <f t="shared" si="0"/>
        <v>-0.1</v>
      </c>
      <c r="H5" s="62" t="str">
        <f t="shared" si="1"/>
        <v>Roles and Responsibilities</v>
      </c>
      <c r="I5" s="36">
        <v>1</v>
      </c>
      <c r="J5" s="34"/>
    </row>
    <row r="6" spans="1:10" ht="17" x14ac:dyDescent="0.2">
      <c r="A6" s="50"/>
      <c r="B6" s="16" t="s">
        <v>14</v>
      </c>
      <c r="C6" s="17" t="s">
        <v>15</v>
      </c>
      <c r="D6" s="58">
        <v>0.4</v>
      </c>
      <c r="E6" s="59">
        <v>0.4</v>
      </c>
      <c r="F6" s="15">
        <v>0.4</v>
      </c>
      <c r="G6" s="61">
        <f t="shared" si="0"/>
        <v>0.4</v>
      </c>
      <c r="H6" s="62" t="str">
        <f t="shared" si="1"/>
        <v>Toolchain Support</v>
      </c>
      <c r="I6" s="36">
        <v>1</v>
      </c>
      <c r="J6" s="34"/>
    </row>
    <row r="7" spans="1:10" ht="17" x14ac:dyDescent="0.2">
      <c r="A7" s="50"/>
      <c r="B7" s="11" t="s">
        <v>16</v>
      </c>
      <c r="C7" s="17" t="s">
        <v>17</v>
      </c>
      <c r="D7" s="58">
        <v>1</v>
      </c>
      <c r="E7" s="37">
        <v>1</v>
      </c>
      <c r="F7" s="37">
        <v>1</v>
      </c>
      <c r="G7" s="61">
        <f t="shared" si="0"/>
        <v>1</v>
      </c>
      <c r="H7" s="62" t="str">
        <f t="shared" si="1"/>
        <v>Global Security Goals / Requirements</v>
      </c>
      <c r="I7" s="36">
        <v>1</v>
      </c>
      <c r="J7" s="34"/>
    </row>
    <row r="8" spans="1:10" ht="17" x14ac:dyDescent="0.2">
      <c r="A8" s="50"/>
      <c r="B8" s="16" t="s">
        <v>18</v>
      </c>
      <c r="C8" s="14" t="s">
        <v>19</v>
      </c>
      <c r="D8" s="56">
        <v>1</v>
      </c>
      <c r="E8" s="56">
        <v>1</v>
      </c>
      <c r="F8" s="15">
        <v>1</v>
      </c>
      <c r="G8" s="61">
        <f t="shared" si="0"/>
        <v>1</v>
      </c>
      <c r="H8" s="62" t="str">
        <f t="shared" si="1"/>
        <v>Protect the Code</v>
      </c>
      <c r="I8" s="36">
        <v>1</v>
      </c>
      <c r="J8" s="34"/>
    </row>
    <row r="9" spans="1:10" ht="17" x14ac:dyDescent="0.2">
      <c r="A9" s="50"/>
      <c r="B9" s="16" t="s">
        <v>20</v>
      </c>
      <c r="C9" s="14" t="s">
        <v>21</v>
      </c>
      <c r="D9" s="56">
        <v>1</v>
      </c>
      <c r="E9" s="57">
        <v>1</v>
      </c>
      <c r="F9" s="15">
        <v>1</v>
      </c>
      <c r="G9" s="61">
        <f t="shared" si="0"/>
        <v>1</v>
      </c>
      <c r="H9" s="62" t="str">
        <f t="shared" si="1"/>
        <v>Ensure Release Integrity</v>
      </c>
      <c r="I9" s="36">
        <v>1</v>
      </c>
      <c r="J9" s="34"/>
    </row>
    <row r="10" spans="1:10" ht="17" x14ac:dyDescent="0.2">
      <c r="A10" s="50"/>
      <c r="B10" s="11" t="s">
        <v>22</v>
      </c>
      <c r="C10" s="14" t="s">
        <v>23</v>
      </c>
      <c r="D10" s="56">
        <v>1</v>
      </c>
      <c r="E10" s="57">
        <v>1</v>
      </c>
      <c r="F10" s="15">
        <v>1</v>
      </c>
      <c r="G10" s="61">
        <f t="shared" si="0"/>
        <v>1</v>
      </c>
      <c r="H10" s="62" t="str">
        <f t="shared" si="1"/>
        <v>Incident Response Plan</v>
      </c>
      <c r="I10" s="36">
        <v>1</v>
      </c>
      <c r="J10" s="34"/>
    </row>
    <row r="11" spans="1:10" ht="17" x14ac:dyDescent="0.2">
      <c r="A11" s="50"/>
      <c r="B11" s="11" t="s">
        <v>24</v>
      </c>
      <c r="C11" s="14" t="s">
        <v>25</v>
      </c>
      <c r="D11" s="56">
        <v>1</v>
      </c>
      <c r="E11" s="57">
        <v>1</v>
      </c>
      <c r="F11" s="15">
        <v>1</v>
      </c>
      <c r="G11" s="61">
        <f t="shared" si="0"/>
        <v>1</v>
      </c>
      <c r="H11" s="62" t="str">
        <f t="shared" si="1"/>
        <v>Decommissioning Plan</v>
      </c>
      <c r="I11" s="36">
        <v>1</v>
      </c>
      <c r="J11" s="34"/>
    </row>
    <row r="12" spans="1:10" ht="17" x14ac:dyDescent="0.2">
      <c r="A12" s="50"/>
      <c r="B12" s="11" t="s">
        <v>26</v>
      </c>
      <c r="C12" s="14" t="s">
        <v>27</v>
      </c>
      <c r="D12" s="56">
        <v>1</v>
      </c>
      <c r="E12" s="57">
        <v>1</v>
      </c>
      <c r="F12" s="15">
        <v>1</v>
      </c>
      <c r="G12" s="61">
        <f t="shared" si="0"/>
        <v>1</v>
      </c>
      <c r="H12" s="62" t="str">
        <f t="shared" si="1"/>
        <v>Threat Prioritization Plan</v>
      </c>
      <c r="I12" s="36">
        <v>1</v>
      </c>
      <c r="J12" s="34"/>
    </row>
    <row r="13" spans="1:10" ht="17" x14ac:dyDescent="0.2">
      <c r="A13" s="50"/>
      <c r="B13" s="16" t="s">
        <v>28</v>
      </c>
      <c r="C13" s="14" t="s">
        <v>29</v>
      </c>
      <c r="D13" s="56">
        <v>1</v>
      </c>
      <c r="E13" s="57">
        <v>1</v>
      </c>
      <c r="F13" s="15">
        <v>1</v>
      </c>
      <c r="G13" s="61">
        <f t="shared" si="0"/>
        <v>1</v>
      </c>
      <c r="H13" s="62" t="str">
        <f t="shared" si="1"/>
        <v>Deployment Plan</v>
      </c>
      <c r="I13" s="36">
        <v>1</v>
      </c>
      <c r="J13" s="34"/>
    </row>
    <row r="14" spans="1:10" ht="6" customHeight="1" x14ac:dyDescent="0.2">
      <c r="A14" s="18"/>
      <c r="B14" s="19"/>
      <c r="C14" s="63"/>
      <c r="D14" s="19"/>
      <c r="E14" s="19"/>
      <c r="F14" s="60"/>
      <c r="G14" s="35"/>
      <c r="H14" s="35"/>
      <c r="I14" s="64">
        <v>1</v>
      </c>
      <c r="J14" s="35"/>
    </row>
    <row r="15" spans="1:10" ht="17" x14ac:dyDescent="0.2">
      <c r="A15" s="50" t="s">
        <v>30</v>
      </c>
      <c r="B15" s="11" t="s">
        <v>31</v>
      </c>
      <c r="C15" s="14" t="s">
        <v>32</v>
      </c>
      <c r="D15" s="56">
        <v>0.95</v>
      </c>
      <c r="E15" s="57">
        <v>1</v>
      </c>
      <c r="F15" s="15">
        <v>1</v>
      </c>
      <c r="G15" s="61">
        <f>IF( D15=F15, F15, -10%)</f>
        <v>-0.1</v>
      </c>
      <c r="H15" s="62" t="str">
        <f>IF( E15, C15, "")</f>
        <v>Element-level Security Requirements</v>
      </c>
      <c r="I15" s="36">
        <v>1</v>
      </c>
      <c r="J15" s="36">
        <f>SUM(I15:I17)</f>
        <v>3</v>
      </c>
    </row>
    <row r="16" spans="1:10" ht="17" x14ac:dyDescent="0.2">
      <c r="A16" s="50"/>
      <c r="B16" s="11" t="s">
        <v>33</v>
      </c>
      <c r="C16" s="17" t="s">
        <v>34</v>
      </c>
      <c r="D16" s="58">
        <v>0</v>
      </c>
      <c r="E16" s="59">
        <v>0</v>
      </c>
      <c r="F16" s="37">
        <v>1</v>
      </c>
      <c r="G16" s="61">
        <f>IF( D16=F16, F16, -10%)</f>
        <v>-0.1</v>
      </c>
      <c r="H16" s="62" t="str">
        <f>IF( E16, C16, "")</f>
        <v/>
      </c>
      <c r="I16" s="36">
        <v>1</v>
      </c>
      <c r="J16" s="34"/>
    </row>
    <row r="17" spans="1:10" ht="5.25" customHeight="1" x14ac:dyDescent="0.2">
      <c r="A17" s="18"/>
      <c r="B17" s="19"/>
      <c r="C17" s="63"/>
      <c r="D17" s="19"/>
      <c r="E17" s="19"/>
      <c r="F17" s="60"/>
      <c r="G17" s="35"/>
      <c r="H17" s="35"/>
      <c r="I17" s="64">
        <v>1</v>
      </c>
      <c r="J17" s="35"/>
    </row>
    <row r="18" spans="1:10" ht="17" x14ac:dyDescent="0.2">
      <c r="A18" s="50" t="s">
        <v>35</v>
      </c>
      <c r="B18" s="20" t="s">
        <v>36</v>
      </c>
      <c r="C18" s="38" t="s">
        <v>37</v>
      </c>
      <c r="D18" s="58">
        <v>0.95</v>
      </c>
      <c r="E18" s="59">
        <v>1</v>
      </c>
      <c r="F18" s="37">
        <v>1</v>
      </c>
      <c r="G18" s="61">
        <f>IF( D18=F18, F18, -10%)</f>
        <v>-0.1</v>
      </c>
      <c r="H18" s="62" t="str">
        <f>IF( E18, C18, "")</f>
        <v>Consider Security and Risk During Design</v>
      </c>
      <c r="I18" s="36">
        <v>1</v>
      </c>
      <c r="J18" s="36">
        <f>SUM(I18:I23)</f>
        <v>6</v>
      </c>
    </row>
    <row r="19" spans="1:10" ht="17" x14ac:dyDescent="0.2">
      <c r="A19" s="50"/>
      <c r="B19" s="11" t="s">
        <v>38</v>
      </c>
      <c r="C19" s="38" t="s">
        <v>39</v>
      </c>
      <c r="D19" s="58">
        <v>0.95</v>
      </c>
      <c r="E19" s="59">
        <v>1</v>
      </c>
      <c r="F19" s="37">
        <v>1</v>
      </c>
      <c r="G19" s="61">
        <f>IF( D19=F19, F19, -10%)</f>
        <v>-0.1</v>
      </c>
      <c r="H19" s="62" t="str">
        <f>IF( E19, C19, "")</f>
        <v>Design Review</v>
      </c>
      <c r="I19" s="36">
        <v>1</v>
      </c>
      <c r="J19" s="34"/>
    </row>
    <row r="20" spans="1:10" ht="17" x14ac:dyDescent="0.2">
      <c r="A20" s="50"/>
      <c r="B20" s="11" t="s">
        <v>40</v>
      </c>
      <c r="C20" s="38" t="s">
        <v>41</v>
      </c>
      <c r="D20" s="58">
        <v>0.95</v>
      </c>
      <c r="E20" s="59">
        <v>1</v>
      </c>
      <c r="F20" s="37">
        <v>1</v>
      </c>
      <c r="G20" s="61">
        <f>IF( D20=F20, F20, -10%)</f>
        <v>-0.1</v>
      </c>
      <c r="H20" s="62" t="str">
        <f>IF( E20, C20, "")</f>
        <v>Attack Surface Reduction</v>
      </c>
      <c r="I20" s="36">
        <v>1</v>
      </c>
      <c r="J20" s="34"/>
    </row>
    <row r="21" spans="1:10" ht="17" x14ac:dyDescent="0.2">
      <c r="A21" s="50"/>
      <c r="B21" s="11" t="s">
        <v>42</v>
      </c>
      <c r="C21" s="38" t="s">
        <v>43</v>
      </c>
      <c r="D21" s="58">
        <v>0.6</v>
      </c>
      <c r="E21" s="59">
        <v>0.8</v>
      </c>
      <c r="F21" s="37">
        <v>0.8</v>
      </c>
      <c r="G21" s="61">
        <f>IF( D21=F21, F21, -10%)</f>
        <v>-0.1</v>
      </c>
      <c r="H21" s="62" t="str">
        <f>IF( E21, C21, "")</f>
        <v>Threat Modeling</v>
      </c>
      <c r="I21" s="36">
        <v>1</v>
      </c>
      <c r="J21" s="34"/>
    </row>
    <row r="22" spans="1:10" ht="17" x14ac:dyDescent="0.2">
      <c r="A22" s="50"/>
      <c r="B22" s="11" t="s">
        <v>44</v>
      </c>
      <c r="C22" s="38" t="s">
        <v>45</v>
      </c>
      <c r="D22" s="58">
        <v>0</v>
      </c>
      <c r="E22" s="59">
        <v>0</v>
      </c>
      <c r="F22" s="37">
        <v>1</v>
      </c>
      <c r="G22" s="61">
        <f>IF( D22=F22, F22, -10%)</f>
        <v>-0.1</v>
      </c>
      <c r="H22" s="62" t="str">
        <f>IF( E22, C22, "")</f>
        <v/>
      </c>
      <c r="I22" s="36">
        <v>1</v>
      </c>
      <c r="J22" s="34"/>
    </row>
    <row r="23" spans="1:10" ht="6.75" customHeight="1" x14ac:dyDescent="0.2">
      <c r="A23" s="18"/>
      <c r="B23" s="19"/>
      <c r="C23" s="63"/>
      <c r="D23" s="19"/>
      <c r="E23" s="19"/>
      <c r="F23" s="60"/>
      <c r="G23" s="35"/>
      <c r="H23" s="35"/>
      <c r="I23" s="64">
        <v>1</v>
      </c>
      <c r="J23" s="35"/>
    </row>
    <row r="24" spans="1:10" ht="17" x14ac:dyDescent="0.2">
      <c r="A24" s="50" t="s">
        <v>46</v>
      </c>
      <c r="B24" s="20" t="s">
        <v>47</v>
      </c>
      <c r="C24" s="21" t="s">
        <v>48</v>
      </c>
      <c r="D24" s="56">
        <v>0.8</v>
      </c>
      <c r="E24" s="57">
        <v>1</v>
      </c>
      <c r="F24" s="15">
        <v>1</v>
      </c>
      <c r="G24" s="61">
        <f t="shared" ref="G24:G34" si="2">IF( D24=F24, F24, -10%)</f>
        <v>-0.1</v>
      </c>
      <c r="H24" s="62" t="str">
        <f t="shared" ref="H24:H34" si="3">IF( E24, C24, "")</f>
        <v>Use Approved Tools</v>
      </c>
      <c r="I24" s="36">
        <v>1</v>
      </c>
      <c r="J24" s="36">
        <f>SUM(I24:I35)</f>
        <v>12</v>
      </c>
    </row>
    <row r="25" spans="1:10" ht="17" x14ac:dyDescent="0.2">
      <c r="A25" s="50"/>
      <c r="B25" s="16" t="s">
        <v>49</v>
      </c>
      <c r="C25" s="38" t="s">
        <v>50</v>
      </c>
      <c r="D25" s="58">
        <v>0.35</v>
      </c>
      <c r="E25" s="59">
        <v>1</v>
      </c>
      <c r="F25" s="37">
        <v>1</v>
      </c>
      <c r="G25" s="61">
        <f t="shared" si="2"/>
        <v>-0.1</v>
      </c>
      <c r="H25" s="62" t="str">
        <f t="shared" si="3"/>
        <v>Configure Process for Security</v>
      </c>
      <c r="I25" s="36">
        <v>1</v>
      </c>
      <c r="J25" s="34"/>
    </row>
    <row r="26" spans="1:10" ht="17" x14ac:dyDescent="0.2">
      <c r="A26" s="50"/>
      <c r="B26" s="11" t="s">
        <v>51</v>
      </c>
      <c r="C26" s="38" t="s">
        <v>52</v>
      </c>
      <c r="D26" s="58">
        <v>0.2</v>
      </c>
      <c r="E26" s="59">
        <v>1</v>
      </c>
      <c r="F26" s="37">
        <v>1</v>
      </c>
      <c r="G26" s="61">
        <f t="shared" si="2"/>
        <v>-0.1</v>
      </c>
      <c r="H26" s="62" t="str">
        <f t="shared" si="3"/>
        <v>Configure Secure Settings by Default</v>
      </c>
      <c r="I26" s="36">
        <v>1</v>
      </c>
      <c r="J26" s="34"/>
    </row>
    <row r="27" spans="1:10" ht="17" x14ac:dyDescent="0.2">
      <c r="A27" s="50"/>
      <c r="B27" s="20" t="s">
        <v>53</v>
      </c>
      <c r="C27" s="38" t="s">
        <v>54</v>
      </c>
      <c r="D27" s="58">
        <v>0.05</v>
      </c>
      <c r="E27" s="59">
        <v>0.75</v>
      </c>
      <c r="F27" s="37">
        <v>1</v>
      </c>
      <c r="G27" s="61">
        <f t="shared" si="2"/>
        <v>-0.1</v>
      </c>
      <c r="H27" s="62" t="str">
        <f t="shared" si="3"/>
        <v>Reuse Well-Secured Software</v>
      </c>
      <c r="I27" s="36">
        <v>1</v>
      </c>
      <c r="J27" s="34"/>
    </row>
    <row r="28" spans="1:10" ht="17" x14ac:dyDescent="0.2">
      <c r="A28" s="50"/>
      <c r="B28" s="20" t="s">
        <v>55</v>
      </c>
      <c r="C28" s="38" t="s">
        <v>56</v>
      </c>
      <c r="D28" s="58">
        <v>0.15</v>
      </c>
      <c r="E28" s="59">
        <v>0.75</v>
      </c>
      <c r="F28" s="37">
        <v>0.75</v>
      </c>
      <c r="G28" s="61">
        <f t="shared" si="2"/>
        <v>-0.1</v>
      </c>
      <c r="H28" s="62" t="str">
        <f t="shared" si="3"/>
        <v>Use Secure Coding Practice</v>
      </c>
      <c r="I28" s="36">
        <v>1</v>
      </c>
      <c r="J28" s="34"/>
    </row>
    <row r="29" spans="1:10" ht="17" x14ac:dyDescent="0.2">
      <c r="A29" s="50"/>
      <c r="B29" s="20" t="s">
        <v>57</v>
      </c>
      <c r="C29" s="38" t="s">
        <v>58</v>
      </c>
      <c r="D29" s="58">
        <v>0</v>
      </c>
      <c r="E29" s="59">
        <v>0</v>
      </c>
      <c r="F29" s="37">
        <v>1</v>
      </c>
      <c r="G29" s="61">
        <f t="shared" si="2"/>
        <v>-0.1</v>
      </c>
      <c r="H29" s="62" t="str">
        <f t="shared" si="3"/>
        <v/>
      </c>
      <c r="I29" s="36">
        <v>1</v>
      </c>
      <c r="J29" s="34"/>
    </row>
    <row r="30" spans="1:10" ht="17" x14ac:dyDescent="0.2">
      <c r="A30" s="50"/>
      <c r="B30" s="16" t="s">
        <v>59</v>
      </c>
      <c r="C30" s="38" t="s">
        <v>60</v>
      </c>
      <c r="D30" s="58">
        <v>0</v>
      </c>
      <c r="E30" s="59">
        <v>1</v>
      </c>
      <c r="F30" s="37">
        <v>1</v>
      </c>
      <c r="G30" s="61">
        <f t="shared" si="2"/>
        <v>-0.1</v>
      </c>
      <c r="H30" s="62" t="str">
        <f t="shared" si="3"/>
        <v>Static Analysis</v>
      </c>
      <c r="I30" s="36">
        <v>1</v>
      </c>
      <c r="J30" s="34"/>
    </row>
    <row r="31" spans="1:10" ht="17" x14ac:dyDescent="0.2">
      <c r="A31" s="50"/>
      <c r="B31" s="20" t="s">
        <v>61</v>
      </c>
      <c r="C31" s="38" t="s">
        <v>62</v>
      </c>
      <c r="D31" s="58">
        <v>0.25</v>
      </c>
      <c r="E31" s="59">
        <v>1</v>
      </c>
      <c r="F31" s="37">
        <v>1</v>
      </c>
      <c r="G31" s="61">
        <f t="shared" si="2"/>
        <v>-0.1</v>
      </c>
      <c r="H31" s="62" t="str">
        <f t="shared" si="3"/>
        <v>Dynamic Program Analysis</v>
      </c>
      <c r="I31" s="36">
        <v>1</v>
      </c>
      <c r="J31" s="34"/>
    </row>
    <row r="32" spans="1:10" ht="17" x14ac:dyDescent="0.2">
      <c r="A32" s="50"/>
      <c r="B32" s="11" t="s">
        <v>63</v>
      </c>
      <c r="C32" s="38" t="s">
        <v>64</v>
      </c>
      <c r="D32" s="58">
        <v>0</v>
      </c>
      <c r="E32" s="59">
        <v>0</v>
      </c>
      <c r="F32" s="37">
        <v>1</v>
      </c>
      <c r="G32" s="61">
        <f t="shared" si="2"/>
        <v>-0.1</v>
      </c>
      <c r="H32" s="62" t="str">
        <f t="shared" si="3"/>
        <v/>
      </c>
      <c r="I32" s="36">
        <v>1</v>
      </c>
      <c r="J32" s="34"/>
    </row>
    <row r="33" spans="1:10" ht="17" x14ac:dyDescent="0.2">
      <c r="A33" s="50"/>
      <c r="B33" s="11" t="s">
        <v>65</v>
      </c>
      <c r="C33" s="38" t="s">
        <v>66</v>
      </c>
      <c r="D33" s="58">
        <v>0</v>
      </c>
      <c r="E33" s="59">
        <v>0.5</v>
      </c>
      <c r="F33" s="37">
        <v>1</v>
      </c>
      <c r="G33" s="61">
        <f t="shared" si="2"/>
        <v>-0.1</v>
      </c>
      <c r="H33" s="62" t="str">
        <f t="shared" si="3"/>
        <v>Fuzz Testing</v>
      </c>
      <c r="I33" s="36">
        <v>1</v>
      </c>
      <c r="J33" s="34"/>
    </row>
    <row r="34" spans="1:10" ht="17" x14ac:dyDescent="0.2">
      <c r="A34" s="50"/>
      <c r="B34" s="11" t="s">
        <v>67</v>
      </c>
      <c r="C34" s="38" t="s">
        <v>68</v>
      </c>
      <c r="D34" s="58">
        <v>0</v>
      </c>
      <c r="E34" s="59">
        <v>0</v>
      </c>
      <c r="F34" s="37">
        <v>1</v>
      </c>
      <c r="G34" s="61">
        <f t="shared" si="2"/>
        <v>-0.1</v>
      </c>
      <c r="H34" s="62" t="str">
        <f t="shared" si="3"/>
        <v/>
      </c>
      <c r="I34" s="36">
        <v>1</v>
      </c>
      <c r="J34" s="34"/>
    </row>
    <row r="35" spans="1:10" ht="7.5" customHeight="1" x14ac:dyDescent="0.2">
      <c r="A35" s="18"/>
      <c r="B35" s="19"/>
      <c r="C35" s="63"/>
      <c r="D35" s="19"/>
      <c r="E35" s="19"/>
      <c r="F35" s="60"/>
      <c r="G35" s="35"/>
      <c r="H35" s="35"/>
      <c r="I35" s="64">
        <v>1</v>
      </c>
      <c r="J35" s="35"/>
    </row>
    <row r="36" spans="1:10" ht="17" x14ac:dyDescent="0.2">
      <c r="A36" s="50" t="s">
        <v>69</v>
      </c>
      <c r="B36" s="11" t="s">
        <v>70</v>
      </c>
      <c r="C36" s="38" t="s">
        <v>71</v>
      </c>
      <c r="D36" s="58">
        <v>0.4</v>
      </c>
      <c r="E36" s="59">
        <v>1</v>
      </c>
      <c r="F36" s="37">
        <v>1</v>
      </c>
      <c r="G36" s="61">
        <f>IF( D36=F36, F36, -10%)</f>
        <v>-0.1</v>
      </c>
      <c r="H36" s="62" t="str">
        <f>IF( E36, C36, "")</f>
        <v>Penetration Testing</v>
      </c>
      <c r="I36" s="36">
        <v>1</v>
      </c>
      <c r="J36" s="36">
        <f>SUM(I36:I40)</f>
        <v>5</v>
      </c>
    </row>
    <row r="37" spans="1:10" ht="17" x14ac:dyDescent="0.2">
      <c r="A37" s="50"/>
      <c r="B37" s="11" t="s">
        <v>72</v>
      </c>
      <c r="C37" s="38" t="s">
        <v>73</v>
      </c>
      <c r="D37" s="58">
        <v>0</v>
      </c>
      <c r="E37" s="59">
        <v>1</v>
      </c>
      <c r="F37" s="37">
        <v>1</v>
      </c>
      <c r="G37" s="61">
        <f>IF( D37=F37, F37, -10%)</f>
        <v>-0.1</v>
      </c>
      <c r="H37" s="62" t="str">
        <f>IF( E37, C37, "")</f>
        <v>Threat Model Review</v>
      </c>
      <c r="I37" s="36">
        <v>1</v>
      </c>
      <c r="J37" s="34"/>
    </row>
    <row r="38" spans="1:10" ht="17" x14ac:dyDescent="0.2">
      <c r="A38" s="50"/>
      <c r="B38" s="11" t="s">
        <v>74</v>
      </c>
      <c r="C38" s="38" t="s">
        <v>75</v>
      </c>
      <c r="D38" s="58">
        <v>0</v>
      </c>
      <c r="E38" s="59">
        <v>1</v>
      </c>
      <c r="F38" s="37">
        <v>1</v>
      </c>
      <c r="G38" s="61">
        <f>IF( D38=F38, F38, -10%)</f>
        <v>-0.1</v>
      </c>
      <c r="H38" s="62" t="str">
        <f>IF( E38, C38, "")</f>
        <v>Attack Surface Analysis Review</v>
      </c>
      <c r="I38" s="36">
        <v>1</v>
      </c>
      <c r="J38" s="34"/>
    </row>
    <row r="39" spans="1:10" ht="17" x14ac:dyDescent="0.2">
      <c r="A39" s="50"/>
      <c r="B39" s="11" t="s">
        <v>76</v>
      </c>
      <c r="C39" s="38" t="s">
        <v>77</v>
      </c>
      <c r="D39" s="58">
        <v>0</v>
      </c>
      <c r="E39" s="59">
        <v>0</v>
      </c>
      <c r="F39" s="37">
        <v>1</v>
      </c>
      <c r="G39" s="61">
        <f>IF( D39=F39, F39, -10%)</f>
        <v>-0.1</v>
      </c>
      <c r="H39" s="62" t="str">
        <f>IF( E39, C39, "")</f>
        <v/>
      </c>
      <c r="I39" s="36">
        <v>1</v>
      </c>
      <c r="J39" s="34"/>
    </row>
    <row r="40" spans="1:10" ht="6" customHeight="1" x14ac:dyDescent="0.2">
      <c r="A40" s="18"/>
      <c r="B40" s="19"/>
      <c r="C40" s="63"/>
      <c r="D40" s="19"/>
      <c r="E40" s="19"/>
      <c r="F40" s="60"/>
      <c r="G40" s="35"/>
      <c r="H40" s="35"/>
      <c r="I40" s="64">
        <v>1</v>
      </c>
      <c r="J40" s="35"/>
    </row>
    <row r="41" spans="1:10" ht="17" x14ac:dyDescent="0.2">
      <c r="A41" s="50" t="s">
        <v>78</v>
      </c>
      <c r="B41" s="11" t="s">
        <v>79</v>
      </c>
      <c r="C41" s="38" t="s">
        <v>80</v>
      </c>
      <c r="D41" s="58">
        <v>0</v>
      </c>
      <c r="E41" s="59">
        <v>1</v>
      </c>
      <c r="F41" s="37">
        <v>1</v>
      </c>
      <c r="G41" s="61">
        <f>IF( D41=F41, F41, -10%)</f>
        <v>-0.1</v>
      </c>
      <c r="H41" s="62" t="str">
        <f>IF( E41, C41, "")</f>
        <v>Final Security Review</v>
      </c>
      <c r="I41" s="36">
        <v>1</v>
      </c>
      <c r="J41" s="36">
        <f>SUM(I41:I43)+1</f>
        <v>4</v>
      </c>
    </row>
    <row r="42" spans="1:10" ht="17" x14ac:dyDescent="0.2">
      <c r="A42" s="50"/>
      <c r="B42" s="16" t="s">
        <v>81</v>
      </c>
      <c r="C42" s="38" t="s">
        <v>82</v>
      </c>
      <c r="D42" s="58">
        <v>0</v>
      </c>
      <c r="E42" s="59">
        <v>1</v>
      </c>
      <c r="F42" s="37">
        <v>1</v>
      </c>
      <c r="G42" s="61">
        <f>IF( D42=F42, F42, -10%)</f>
        <v>-0.1</v>
      </c>
      <c r="H42" s="62" t="str">
        <f>IF( E42, C42, "")</f>
        <v>Archive</v>
      </c>
      <c r="I42" s="36">
        <v>1</v>
      </c>
      <c r="J42" s="34"/>
    </row>
    <row r="43" spans="1:10" ht="17" x14ac:dyDescent="0.2">
      <c r="A43" s="50"/>
      <c r="B43" s="11" t="s">
        <v>83</v>
      </c>
      <c r="C43" s="38" t="s">
        <v>84</v>
      </c>
      <c r="D43" s="58">
        <v>0</v>
      </c>
      <c r="E43" s="59">
        <v>1</v>
      </c>
      <c r="F43" s="37">
        <v>1</v>
      </c>
      <c r="G43" s="61">
        <f>IF( D43=F43, F43, -10%)</f>
        <v>-0.1</v>
      </c>
      <c r="H43" s="62" t="str">
        <f>IF( E43, C43, "")</f>
        <v>Release Gate</v>
      </c>
      <c r="I43" s="36">
        <v>1</v>
      </c>
      <c r="J43" s="34"/>
    </row>
    <row r="44" spans="1:10" ht="6.75" customHeight="1" x14ac:dyDescent="0.2">
      <c r="A44" s="18"/>
      <c r="B44" s="19"/>
      <c r="C44" s="63"/>
      <c r="D44" s="19"/>
      <c r="E44" s="19"/>
      <c r="F44" s="60"/>
      <c r="G44" s="35"/>
      <c r="H44" s="35"/>
      <c r="I44" s="64">
        <v>1</v>
      </c>
      <c r="J44" s="35"/>
    </row>
    <row r="45" spans="1:10" ht="17" x14ac:dyDescent="0.2">
      <c r="A45" s="50" t="s">
        <v>85</v>
      </c>
      <c r="B45" s="11" t="s">
        <v>86</v>
      </c>
      <c r="C45" s="21" t="s">
        <v>87</v>
      </c>
      <c r="D45" s="56">
        <v>0.1</v>
      </c>
      <c r="E45" s="57">
        <v>1</v>
      </c>
      <c r="F45" s="15">
        <v>1</v>
      </c>
      <c r="G45" s="61">
        <f>IF( D45=F45, F45, -10%)</f>
        <v>-0.1</v>
      </c>
      <c r="H45" s="62" t="str">
        <f>IF( E45, C45, "")</f>
        <v>Identify and Confirm Vulnerabilities</v>
      </c>
      <c r="I45" s="36">
        <v>1</v>
      </c>
      <c r="J45" s="36">
        <f>SUM(I45:I49)</f>
        <v>5</v>
      </c>
    </row>
    <row r="46" spans="1:10" ht="17" x14ac:dyDescent="0.2">
      <c r="A46" s="50"/>
      <c r="B46" s="11" t="s">
        <v>88</v>
      </c>
      <c r="C46" s="21" t="s">
        <v>89</v>
      </c>
      <c r="D46" s="56">
        <v>0</v>
      </c>
      <c r="E46" s="57">
        <v>1</v>
      </c>
      <c r="F46" s="15">
        <v>1</v>
      </c>
      <c r="G46" s="61">
        <f>IF( D46=F46, F46, -10%)</f>
        <v>-0.1</v>
      </c>
      <c r="H46" s="62" t="str">
        <f>IF( E46, C46, "")</f>
        <v>Assess and Prioritize Remediation</v>
      </c>
      <c r="I46" s="36">
        <v>1</v>
      </c>
      <c r="J46" s="34"/>
    </row>
    <row r="47" spans="1:10" ht="17" x14ac:dyDescent="0.2">
      <c r="A47" s="50"/>
      <c r="B47" s="11" t="s">
        <v>90</v>
      </c>
      <c r="C47" s="21" t="s">
        <v>91</v>
      </c>
      <c r="D47" s="56">
        <v>0</v>
      </c>
      <c r="E47" s="57">
        <v>0.5</v>
      </c>
      <c r="F47" s="15">
        <v>0.5</v>
      </c>
      <c r="G47" s="61">
        <f>IF( D47=F47, F47, -10%)</f>
        <v>-0.1</v>
      </c>
      <c r="H47" s="62" t="str">
        <f>IF( E47, C47, "")</f>
        <v>Root Cause Vulnerabilities</v>
      </c>
      <c r="I47" s="36">
        <v>1</v>
      </c>
      <c r="J47" s="34"/>
    </row>
    <row r="48" spans="1:10" ht="17" x14ac:dyDescent="0.2">
      <c r="A48" s="50"/>
      <c r="B48" s="16" t="s">
        <v>92</v>
      </c>
      <c r="C48" s="21" t="s">
        <v>93</v>
      </c>
      <c r="D48" s="56">
        <v>0.3</v>
      </c>
      <c r="E48" s="57">
        <v>1</v>
      </c>
      <c r="F48" s="15">
        <v>1</v>
      </c>
      <c r="G48" s="61">
        <f>IF( D48=F48, F48, -10%)</f>
        <v>-0.1</v>
      </c>
      <c r="H48" s="62" t="str">
        <f>IF( E48, C48, "")</f>
        <v>Secure Deployment</v>
      </c>
      <c r="I48" s="36">
        <v>1</v>
      </c>
      <c r="J48" s="34"/>
    </row>
    <row r="49" spans="1:10" ht="7.5" customHeight="1" x14ac:dyDescent="0.2">
      <c r="A49" s="18"/>
      <c r="B49" s="22"/>
      <c r="C49" s="65"/>
      <c r="D49" s="19"/>
      <c r="E49" s="19"/>
      <c r="F49" s="60"/>
      <c r="G49" s="35"/>
      <c r="H49" s="35"/>
      <c r="I49" s="64">
        <v>1</v>
      </c>
      <c r="J49" s="35"/>
    </row>
    <row r="50" spans="1:10" ht="17.25" customHeight="1" x14ac:dyDescent="0.2">
      <c r="A50" s="23" t="s">
        <v>94</v>
      </c>
      <c r="B50" s="16" t="s">
        <v>95</v>
      </c>
      <c r="C50" s="14" t="s">
        <v>96</v>
      </c>
      <c r="D50" s="56">
        <v>0</v>
      </c>
      <c r="E50" s="57">
        <v>1</v>
      </c>
      <c r="F50" s="15">
        <v>1</v>
      </c>
      <c r="G50" s="61">
        <f>IF( D50=F50, F50, -10%)</f>
        <v>-0.1</v>
      </c>
      <c r="H50" s="66" t="str">
        <f>IF( E50=F50, C50, "")</f>
        <v>Apply Decommissioning Protocol</v>
      </c>
      <c r="I50" s="36">
        <v>1</v>
      </c>
      <c r="J50" s="36">
        <f>SUM(I50:I55)+1</f>
        <v>2</v>
      </c>
    </row>
    <row r="51" spans="1:10" ht="16" x14ac:dyDescent="0.2">
      <c r="A51" s="12"/>
      <c r="B51" s="24"/>
      <c r="C51" s="25"/>
      <c r="D51" s="25"/>
      <c r="E51" s="25"/>
      <c r="F51" s="26"/>
      <c r="G51" s="25"/>
      <c r="H51" s="12"/>
      <c r="I51" s="12"/>
      <c r="J51" s="12"/>
    </row>
    <row r="52" spans="1:10" ht="16" x14ac:dyDescent="0.2">
      <c r="A52" s="12"/>
      <c r="B52" s="27"/>
      <c r="C52" s="28" t="s">
        <v>97</v>
      </c>
      <c r="D52" s="25"/>
      <c r="E52" s="25"/>
      <c r="F52" s="26"/>
      <c r="G52" s="25"/>
      <c r="H52" s="12"/>
      <c r="I52" s="12"/>
      <c r="J52" s="12"/>
    </row>
    <row r="53" spans="1:10" ht="16" x14ac:dyDescent="0.2">
      <c r="A53" s="12"/>
      <c r="B53" s="29"/>
      <c r="C53" s="30" t="s">
        <v>98</v>
      </c>
      <c r="D53" s="25"/>
      <c r="E53" s="25"/>
      <c r="F53" s="26"/>
      <c r="G53" s="25"/>
      <c r="H53" s="12"/>
      <c r="I53" s="12"/>
      <c r="J53" s="12"/>
    </row>
    <row r="54" spans="1:10" ht="16" x14ac:dyDescent="0.2">
      <c r="A54" s="12"/>
      <c r="B54" s="31"/>
      <c r="C54" s="32" t="s">
        <v>99</v>
      </c>
      <c r="D54" s="25"/>
      <c r="E54" s="25"/>
      <c r="F54" s="26"/>
      <c r="G54" s="25"/>
      <c r="H54" s="12"/>
      <c r="I54" s="12"/>
      <c r="J54" s="12"/>
    </row>
  </sheetData>
  <mergeCells count="13">
    <mergeCell ref="A45:A48"/>
    <mergeCell ref="A4:A13"/>
    <mergeCell ref="A15:A16"/>
    <mergeCell ref="A18:A22"/>
    <mergeCell ref="G1:J1"/>
    <mergeCell ref="D1:E1"/>
    <mergeCell ref="A24:A34"/>
    <mergeCell ref="A36:A39"/>
    <mergeCell ref="A41:A43"/>
    <mergeCell ref="A1:A2"/>
    <mergeCell ref="B1:B2"/>
    <mergeCell ref="C1:C2"/>
    <mergeCell ref="F1:F2"/>
  </mergeCells>
  <pageMargins left="0.7" right="0.7" top="0.75" bottom="0.75" header="0.3" footer="0.3"/>
  <pageSetup orientation="portrait" horizontalDpi="0" verticalDpi="0"/>
  <ignoredErrors>
    <ignoredError sqref="J4:J50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F21C-9591-412A-BDA3-E57BC3A7DE53}">
  <sheetPr>
    <pageSetUpPr fitToPage="1"/>
  </sheetPr>
  <dimension ref="R46:X54"/>
  <sheetViews>
    <sheetView showGridLines="0" topLeftCell="A9" zoomScaleNormal="100" workbookViewId="0">
      <selection activeCell="AC31" sqref="AC31"/>
    </sheetView>
  </sheetViews>
  <sheetFormatPr baseColWidth="10" defaultColWidth="8.83203125" defaultRowHeight="16" x14ac:dyDescent="0.2"/>
  <cols>
    <col min="17" max="17" width="8.83203125" customWidth="1"/>
    <col min="18" max="18" width="6" customWidth="1"/>
    <col min="19" max="19" width="1.1640625" customWidth="1"/>
    <col min="21" max="21" width="1.33203125" customWidth="1"/>
    <col min="22" max="22" width="17.1640625" bestFit="1" customWidth="1"/>
    <col min="23" max="23" width="1.33203125" customWidth="1"/>
    <col min="24" max="24" width="8.83203125" customWidth="1"/>
  </cols>
  <sheetData>
    <row r="46" spans="18:24" ht="28" thickBot="1" x14ac:dyDescent="0.4">
      <c r="R46" s="39"/>
      <c r="S46" s="40"/>
      <c r="T46" s="40"/>
      <c r="U46" s="40"/>
      <c r="V46" s="40"/>
      <c r="W46" s="40"/>
      <c r="X46" s="39"/>
    </row>
    <row r="47" spans="18:24" ht="8" customHeight="1" x14ac:dyDescent="0.35">
      <c r="R47" s="41"/>
      <c r="S47" s="39"/>
      <c r="T47" s="39"/>
      <c r="U47" s="39"/>
      <c r="V47" s="39"/>
      <c r="W47" s="39"/>
      <c r="X47" s="42"/>
    </row>
    <row r="48" spans="18:24" ht="27" x14ac:dyDescent="0.35">
      <c r="R48" s="41"/>
      <c r="S48" s="39"/>
      <c r="T48" s="43"/>
      <c r="U48" s="39"/>
      <c r="V48" s="44" t="str">
        <f>'adoption status'!D2</f>
        <v>Current</v>
      </c>
      <c r="W48" s="39"/>
      <c r="X48" s="42"/>
    </row>
    <row r="49" spans="18:24" ht="7" customHeight="1" x14ac:dyDescent="0.35">
      <c r="R49" s="41"/>
      <c r="S49" s="39"/>
      <c r="T49" s="39"/>
      <c r="U49" s="39"/>
      <c r="V49" s="48"/>
      <c r="W49" s="39"/>
      <c r="X49" s="42"/>
    </row>
    <row r="50" spans="18:24" ht="27" x14ac:dyDescent="0.35">
      <c r="R50" s="41"/>
      <c r="S50" s="39"/>
      <c r="T50" s="45"/>
      <c r="U50" s="39"/>
      <c r="V50" s="44" t="str">
        <f>'adoption status'!E2</f>
        <v>Goal</v>
      </c>
      <c r="W50" s="39"/>
      <c r="X50" s="42"/>
    </row>
    <row r="51" spans="18:24" ht="8" customHeight="1" x14ac:dyDescent="0.35">
      <c r="R51" s="41"/>
      <c r="S51" s="39"/>
      <c r="T51" s="39"/>
      <c r="U51" s="39"/>
      <c r="V51" s="48"/>
      <c r="W51" s="39"/>
      <c r="X51" s="42"/>
    </row>
    <row r="52" spans="18:24" ht="27" x14ac:dyDescent="0.35">
      <c r="R52" s="41"/>
      <c r="S52" s="39"/>
      <c r="T52" s="46"/>
      <c r="U52" s="39"/>
      <c r="V52" s="44" t="str">
        <f>'adoption status'!G2</f>
        <v>Done</v>
      </c>
      <c r="W52" s="39"/>
      <c r="X52" s="42"/>
    </row>
    <row r="53" spans="18:24" ht="7" customHeight="1" thickBot="1" x14ac:dyDescent="0.4">
      <c r="R53" s="41"/>
      <c r="S53" s="39"/>
      <c r="T53" s="39"/>
      <c r="U53" s="39"/>
      <c r="V53" s="39"/>
      <c r="W53" s="39"/>
      <c r="X53" s="42"/>
    </row>
    <row r="54" spans="18:24" ht="27" x14ac:dyDescent="0.35">
      <c r="R54" s="39"/>
      <c r="S54" s="47"/>
      <c r="T54" s="47"/>
      <c r="U54" s="47"/>
      <c r="V54" s="47"/>
      <c r="W54" s="47"/>
      <c r="X54" s="39"/>
    </row>
  </sheetData>
  <pageMargins left="0.7" right="0.7" top="0.75" bottom="0.75" header="0.3" footer="0.3"/>
  <pageSetup scale="46" orientation="landscape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B30B041CECA40B09818DD59C48F88" ma:contentTypeVersion="12" ma:contentTypeDescription="Create a new document." ma:contentTypeScope="" ma:versionID="5f40088f3b67c70c6d677e9e4904210d">
  <xsd:schema xmlns:xsd="http://www.w3.org/2001/XMLSchema" xmlns:xs="http://www.w3.org/2001/XMLSchema" xmlns:p="http://schemas.microsoft.com/office/2006/metadata/properties" xmlns:ns2="0fe8f55b-6935-4298-952f-379117e6921e" xmlns:ns3="32ca420a-08c7-4d06-bbfa-5e08a735cd98" targetNamespace="http://schemas.microsoft.com/office/2006/metadata/properties" ma:root="true" ma:fieldsID="ef0d6b5b58261d3e239bb99273f5df7a" ns2:_="" ns3:_="">
    <xsd:import namespace="0fe8f55b-6935-4298-952f-379117e6921e"/>
    <xsd:import namespace="32ca420a-08c7-4d06-bbfa-5e08a735cd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8f55b-6935-4298-952f-379117e69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26858d-2700-46c5-8a58-cf7545c5cd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a420a-08c7-4d06-bbfa-5e08a735cd9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eebc963-c490-464d-a50c-a28e55bdd86c}" ma:internalName="TaxCatchAll" ma:showField="CatchAllData" ma:web="32ca420a-08c7-4d06-bbfa-5e08a735cd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e8f55b-6935-4298-952f-379117e6921e">
      <Terms xmlns="http://schemas.microsoft.com/office/infopath/2007/PartnerControls"/>
    </lcf76f155ced4ddcb4097134ff3c332f>
    <TaxCatchAll xmlns="32ca420a-08c7-4d06-bbfa-5e08a735cd98" xsi:nil="true"/>
  </documentManagement>
</p:properties>
</file>

<file path=customXml/itemProps1.xml><?xml version="1.0" encoding="utf-8"?>
<ds:datastoreItem xmlns:ds="http://schemas.openxmlformats.org/officeDocument/2006/customXml" ds:itemID="{CFA636B8-08A0-4C46-8569-1AB96E87E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A1EE6F-951D-4CBC-958A-B59675CA3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8f55b-6935-4298-952f-379117e6921e"/>
    <ds:schemaRef ds:uri="32ca420a-08c7-4d06-bbfa-5e08a735c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C690A2-5AC5-4612-AD7D-C7010A2BEEEE}">
  <ds:schemaRefs>
    <ds:schemaRef ds:uri="http://schemas.microsoft.com/office/2006/metadata/properties"/>
    <ds:schemaRef ds:uri="http://schemas.microsoft.com/office/infopath/2007/PartnerControls"/>
    <ds:schemaRef ds:uri="0fe8f55b-6935-4298-952f-379117e6921e"/>
    <ds:schemaRef ds:uri="32ca420a-08c7-4d06-bbfa-5e08a735cd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adoption status</vt:lpstr>
      <vt:lpstr>summary diagram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implementation status template</dc:title>
  <dc:subject>AVCDL implementation tracking</dc:subject>
  <dc:creator>Charles Wilson</dc:creator>
  <cp:keywords>AVCDL</cp:keywords>
  <dc:description>This work was created by Torc Robotics and is licensed under the Creative Commons Attribution-Share Alike (CC BY-SA-4.0) License.
https://creativecommons.org/licenses/by/4.0/legalcode
</dc:description>
  <cp:lastModifiedBy>Charles Wilson</cp:lastModifiedBy>
  <cp:revision/>
  <cp:lastPrinted>2025-05-13T14:50:03Z</cp:lastPrinted>
  <dcterms:created xsi:type="dcterms:W3CDTF">2024-10-02T16:23:38Z</dcterms:created>
  <dcterms:modified xsi:type="dcterms:W3CDTF">2025-05-14T14:55:36Z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0x010100672B30B041CECA40B09818DD59C48F88</vt:lpwstr>
  </property>
  <property fmtid="{D5CDD505-2E9C-101B-9397-08002B2CF9AE}" pid="3" name="MediaServiceImageTags">
    <vt:lpwstr/>
  </property>
</Properties>
</file>