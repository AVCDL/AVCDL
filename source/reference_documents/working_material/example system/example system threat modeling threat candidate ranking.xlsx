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DE57CE8B-ED46-F043-8DAB-3B5BAE2F85C0}" xr6:coauthVersionLast="47" xr6:coauthVersionMax="47" xr10:uidLastSave="{00000000-0000-0000-0000-000000000000}"/>
  <bookViews>
    <workbookView xWindow="-77180" yWindow="-33100" windowWidth="28500" windowHeight="20140" xr2:uid="{DEA20EDE-F7A8-FC4F-9F8A-95A2B1030BD3}"/>
  </bookViews>
  <sheets>
    <sheet name="cover sheet" sheetId="7" r:id="rId1"/>
    <sheet name="revision history" sheetId="9" r:id="rId2"/>
    <sheet name="references" sheetId="10" r:id="rId3"/>
    <sheet name="ranking" sheetId="6" r:id="rId4"/>
    <sheet name="rubric quantization" sheetId="16" r:id="rId5"/>
    <sheet name="domain quantization" sheetId="17" r:id="rId6"/>
    <sheet name="legend" sheetId="2" r:id="rId7"/>
  </sheets>
  <definedNames>
    <definedName name="DQ_end">'domain quantization'!$C$20</definedName>
    <definedName name="DQ_start">'domain quantization'!$B$5</definedName>
    <definedName name="RQ_end" localSheetId="5">'domain quantization'!$C$20</definedName>
    <definedName name="RQ_end">'rubric quantization'!$C$20</definedName>
    <definedName name="RQ_start" localSheetId="5">'domain quantization'!$B$5</definedName>
    <definedName name="RQ_start">'rubric quantization'!$B$5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</calcChain>
</file>

<file path=xl/sharedStrings.xml><?xml version="1.0" encoding="utf-8"?>
<sst xmlns="http://schemas.openxmlformats.org/spreadsheetml/2006/main" count="94" uniqueCount="61">
  <si>
    <t>DO NOT EDIT THIS PAGE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</si>
  <si>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</si>
  <si>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</si>
  <si>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</si>
  <si>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</si>
  <si>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</si>
  <si>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</si>
  <si>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</si>
  <si>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</si>
  <si>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</si>
  <si>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</si>
  <si>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</si>
  <si>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</si>
  <si>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Cybersecurity SME</t>
  </si>
  <si>
    <t>Rubric Quantization</t>
  </si>
  <si>
    <t>min value</t>
  </si>
  <si>
    <t>label</t>
  </si>
  <si>
    <t>none</t>
  </si>
  <si>
    <t>used to enable automation</t>
  </si>
  <si>
    <t>low</t>
  </si>
  <si>
    <t>medium</t>
  </si>
  <si>
    <t>high</t>
  </si>
  <si>
    <t>critical</t>
  </si>
  <si>
    <t>DO NOT REMOVE THIS ENTRY</t>
  </si>
  <si>
    <t>rubric value</t>
  </si>
  <si>
    <t>candidate ID</t>
  </si>
  <si>
    <t>very low</t>
  </si>
  <si>
    <t>Domain Quantization</t>
  </si>
  <si>
    <t>rubric metadata</t>
  </si>
  <si>
    <t>Threat Candidate Ranking</t>
  </si>
  <si>
    <t>Ranking</t>
  </si>
  <si>
    <t>worst case</t>
  </si>
  <si>
    <t>element</t>
  </si>
  <si>
    <t>CVSS</t>
  </si>
  <si>
    <t>Charles Wilson</t>
  </si>
  <si>
    <t>Common Vulnerability Scoring System</t>
  </si>
  <si>
    <t>https://www.first.org/cvss/</t>
  </si>
  <si>
    <t xml:space="preserve">https://www.iso.org/standard/70918.html </t>
  </si>
  <si>
    <t>ISO/SAE 21434</t>
  </si>
  <si>
    <t>automotive cybersecurity likelihood quantization</t>
  </si>
  <si>
    <r>
      <t xml:space="preserve">NOTE: The </t>
    </r>
    <r>
      <rPr>
        <sz val="16"/>
        <color rgb="FF0070C0"/>
        <rFont val="Arial"/>
        <family val="2"/>
      </rPr>
      <t>rubric</t>
    </r>
    <r>
      <rPr>
        <sz val="16"/>
        <color rgb="FFFF0000"/>
        <rFont val="Arial"/>
        <family val="2"/>
      </rPr>
      <t xml:space="preserve"> and </t>
    </r>
    <r>
      <rPr>
        <sz val="16"/>
        <color rgb="FF0070C0"/>
        <rFont val="Arial"/>
        <family val="2"/>
      </rPr>
      <t>domain quantization</t>
    </r>
    <r>
      <rPr>
        <sz val="16"/>
        <color rgb="FFFF0000"/>
        <rFont val="Arial"/>
        <family val="2"/>
      </rPr>
      <t xml:space="preserve"> columns are auto populated based on the </t>
    </r>
    <r>
      <rPr>
        <sz val="16"/>
        <color rgb="FF0070C0"/>
        <rFont val="Arial"/>
        <family val="2"/>
      </rPr>
      <t>rubric value</t>
    </r>
    <r>
      <rPr>
        <sz val="16"/>
        <color rgb="FFFF0000"/>
        <rFont val="Arial"/>
        <family val="2"/>
      </rPr>
      <t xml:space="preserve"> column.</t>
    </r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</si>
  <si>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Ranking Procedure </t>
    </r>
    <r>
      <rPr>
        <sz val="18"/>
        <color rgb="FF00B050"/>
        <rFont val="Arial"/>
        <family val="2"/>
      </rPr>
      <t>for instructions</t>
    </r>
  </si>
  <si>
    <t>Likelihood Rubric</t>
  </si>
  <si>
    <t>ESTMI-05</t>
  </si>
  <si>
    <t>ESTMI-06</t>
  </si>
  <si>
    <t>ESTMI-07</t>
  </si>
  <si>
    <t>ESTMI-08</t>
  </si>
  <si>
    <t>ESTMI-09</t>
  </si>
  <si>
    <t>ESTMI-10</t>
  </si>
  <si>
    <t>data not encrypted</t>
  </si>
  <si>
    <t>data has no integrity check</t>
  </si>
  <si>
    <t>endpoints not authenticated</t>
  </si>
  <si>
    <t>ESD-13</t>
  </si>
  <si>
    <t>ESD-14</t>
  </si>
  <si>
    <t>CVSS:4.0/AV:N/AC:L/AT:N/PR:N/UI:N/VC:H/VI:H/VA:H/SC:H/SI:H/SA:H</t>
  </si>
  <si>
    <t>system failure</t>
  </si>
  <si>
    <t>AVCDL repo (example system threat model triage.xlsx)</t>
  </si>
  <si>
    <t>example system triage</t>
  </si>
  <si>
    <t>example system triage from threat modeling</t>
  </si>
  <si>
    <t>rubric quantization</t>
  </si>
  <si>
    <t>domain quantization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</si>
</sst>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"/>
    <numFmt numFmtId="166" formatCode="0.0000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u/>
      <sz val="12"/>
      <color theme="10"/>
      <name val="Aptos Narrow"/>
      <family val="2"/>
      <scheme val="minor"/>
    </font>
    <font>
      <sz val="16"/>
      <color rgb="FFFF0000"/>
      <name val="Arial"/>
      <family val="2"/>
    </font>
    <font>
      <sz val="16"/>
      <color rgb="FF0070C0"/>
      <name val="Arial"/>
      <family val="2"/>
    </font>
    <font>
      <sz val="48"/>
      <color theme="1"/>
      <name val="Arial"/>
      <family val="2"/>
    </font>
    <font>
      <sz val="12"/>
      <color rgb="FF0070C0"/>
      <name val="Arial"/>
      <family val="2"/>
    </font>
    <font>
      <sz val="12"/>
      <color rgb="FFFF0000"/>
      <name val="Arial"/>
      <family val="2"/>
    </font>
    <font>
      <u/>
      <sz val="12"/>
      <color theme="10"/>
      <name val="Arial"/>
      <family val="2"/>
    </font>
    <font>
      <sz val="24"/>
      <color theme="1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  <font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/>
    <xf numFmtId="49" fontId="5" fillId="0" borderId="2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textRotation="45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165" fontId="6" fillId="0" borderId="2" xfId="0" applyNumberFormat="1" applyFont="1" applyBorder="1"/>
    <xf numFmtId="0" fontId="13" fillId="0" borderId="2" xfId="0" applyFont="1" applyBorder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166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6" fontId="5" fillId="0" borderId="1" xfId="0" applyNumberFormat="1" applyFont="1" applyBorder="1"/>
    <xf numFmtId="0" fontId="6" fillId="0" borderId="2" xfId="0" applyFont="1" applyBorder="1"/>
    <xf numFmtId="166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49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0" fontId="16" fillId="0" borderId="0" xfId="0" applyFont="1" applyAlignment="1">
      <alignment horizontal="right"/>
    </xf>
    <xf numFmtId="0" fontId="16" fillId="0" borderId="0" xfId="0" applyFont="1"/>
    <xf numFmtId="0" fontId="15" fillId="0" borderId="1" xfId="1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1" fontId="19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/>
    <xf numFmtId="164" fontId="19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so.org/standard/70918.html" TargetMode="External"/><Relationship Id="rId1" Type="http://schemas.openxmlformats.org/officeDocument/2006/relationships/hyperlink" Target="https://www.first.org/cv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2"/>
  <sheetViews>
    <sheetView tabSelected="1" zoomScaleNormal="100" workbookViewId="0">
      <selection activeCell="L26" sqref="L26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59" x14ac:dyDescent="0.55000000000000004">
      <c r="B2" s="57" t="s">
        <v>29</v>
      </c>
      <c r="C2" s="57"/>
      <c r="D2" s="57"/>
      <c r="E2" s="57"/>
      <c r="F2" s="57"/>
      <c r="G2" s="57"/>
      <c r="H2" s="57"/>
      <c r="I2" s="57"/>
      <c r="J2" s="57"/>
      <c r="K2" s="57"/>
    </row>
    <row r="3" spans="2:11" x14ac:dyDescent="0.2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x14ac:dyDescent="0.3">
      <c r="B4" s="47" t="s">
        <v>13</v>
      </c>
      <c r="C4" s="48"/>
      <c r="D4" s="59" t="s">
        <v>34</v>
      </c>
      <c r="E4" s="59"/>
      <c r="F4" s="59"/>
      <c r="G4" s="59"/>
      <c r="H4" s="59"/>
      <c r="I4" s="59"/>
      <c r="J4" s="59"/>
      <c r="K4" s="8"/>
    </row>
    <row r="5" spans="2:11" x14ac:dyDescent="0.2">
      <c r="B5" s="8"/>
      <c r="C5" s="8"/>
      <c r="D5" s="55"/>
      <c r="E5" s="55"/>
      <c r="F5" s="55"/>
      <c r="G5" s="55"/>
      <c r="H5" s="55"/>
      <c r="I5" s="55"/>
      <c r="J5" s="55"/>
      <c r="K5" s="8"/>
    </row>
    <row r="6" spans="2:11" ht="30" x14ac:dyDescent="0.3">
      <c r="B6" s="47" t="s">
        <v>42</v>
      </c>
      <c r="C6" s="48"/>
      <c r="D6" s="59" t="s">
        <v>33</v>
      </c>
      <c r="E6" s="59"/>
      <c r="F6" s="59"/>
      <c r="G6" s="59"/>
      <c r="H6" s="59"/>
      <c r="I6" s="59"/>
      <c r="J6" s="59"/>
      <c r="K6" s="8"/>
    </row>
    <row r="7" spans="2:11" x14ac:dyDescent="0.2">
      <c r="B7" s="8"/>
      <c r="C7" s="8"/>
      <c r="D7" s="55"/>
      <c r="E7" s="55"/>
      <c r="F7" s="55"/>
      <c r="G7" s="55"/>
      <c r="H7" s="55"/>
      <c r="I7" s="55"/>
      <c r="J7" s="55"/>
      <c r="K7" s="8"/>
    </row>
    <row r="8" spans="2:11" ht="30" x14ac:dyDescent="0.3">
      <c r="B8" s="47" t="s">
        <v>2</v>
      </c>
      <c r="C8" s="48"/>
      <c r="D8" s="60">
        <v>36765</v>
      </c>
      <c r="E8" s="60"/>
      <c r="F8" s="60"/>
      <c r="G8" s="60"/>
      <c r="H8" s="60"/>
      <c r="I8" s="60"/>
      <c r="J8" s="60"/>
      <c r="K8" s="8"/>
    </row>
    <row r="9" spans="2:11" x14ac:dyDescent="0.2">
      <c r="B9" s="8"/>
      <c r="C9" s="8"/>
      <c r="D9" s="55"/>
      <c r="E9" s="55"/>
      <c r="F9" s="55"/>
      <c r="G9" s="55"/>
      <c r="H9" s="55"/>
      <c r="I9" s="55"/>
      <c r="J9" s="55"/>
      <c r="K9" s="8"/>
    </row>
    <row r="10" spans="2:11" ht="30" x14ac:dyDescent="0.3">
      <c r="B10" s="47" t="s">
        <v>3</v>
      </c>
      <c r="C10" s="48"/>
      <c r="D10" s="56">
        <v>1</v>
      </c>
      <c r="E10" s="55"/>
      <c r="F10" s="55"/>
      <c r="G10" s="55"/>
      <c r="H10" s="55"/>
      <c r="I10" s="55"/>
      <c r="J10" s="55"/>
      <c r="K10" s="8"/>
    </row>
    <row r="11" spans="2:11" ht="134" customHeight="1" x14ac:dyDescent="0.3">
      <c r="B11" s="48"/>
      <c r="C11" s="48"/>
      <c r="D11" s="48"/>
      <c r="E11" s="8"/>
      <c r="F11" s="8"/>
      <c r="G11" s="8"/>
      <c r="H11" s="8"/>
      <c r="I11" s="8"/>
      <c r="J11" s="8"/>
      <c r="K11" s="8"/>
    </row>
    <row r="12" spans="2:11" ht="23" x14ac:dyDescent="0.2">
      <c r="B12" s="58" t="s">
        <v>41</v>
      </c>
      <c r="C12" s="58"/>
      <c r="D12" s="58"/>
      <c r="E12" s="58"/>
      <c r="F12" s="58"/>
      <c r="G12" s="58"/>
      <c r="H12" s="58"/>
      <c r="I12" s="58"/>
      <c r="J12" s="58"/>
      <c r="K12" s="58"/>
    </row>
  </sheetData>
  <mergeCells count="5">
    <mergeCell ref="B2:K2"/>
    <mergeCell ref="B12:K12"/>
    <mergeCell ref="D4:J4"/>
    <mergeCell ref="D8:J8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10" xr:uid="{A21A852B-E162-DE49-8534-C050B9EB1C5D}">
      <formula1>OR(AND(D10&gt;=1,D10&lt;=65535),D10="NO")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D33" sqref="D33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61" t="s">
        <v>5</v>
      </c>
      <c r="C2" s="61"/>
      <c r="D2" s="61"/>
      <c r="E2" s="2"/>
      <c r="F2" s="2"/>
      <c r="G2" s="2"/>
    </row>
    <row r="3" spans="1:7" x14ac:dyDescent="0.2">
      <c r="B3" s="8"/>
      <c r="C3" s="8"/>
      <c r="D3" s="8"/>
    </row>
    <row r="4" spans="1:7" x14ac:dyDescent="0.2">
      <c r="A4" s="1"/>
      <c r="B4" s="43" t="s">
        <v>3</v>
      </c>
      <c r="C4" s="38" t="s">
        <v>6</v>
      </c>
      <c r="D4" s="44" t="s">
        <v>7</v>
      </c>
    </row>
    <row r="5" spans="1:7" x14ac:dyDescent="0.2">
      <c r="B5" s="45">
        <v>1</v>
      </c>
      <c r="C5" s="42" t="s">
        <v>34</v>
      </c>
      <c r="D5" s="46" t="s">
        <v>8</v>
      </c>
    </row>
    <row r="6" spans="1:7" x14ac:dyDescent="0.2">
      <c r="B6" s="45"/>
      <c r="C6" s="42"/>
      <c r="D6" s="46"/>
    </row>
    <row r="7" spans="1:7" x14ac:dyDescent="0.2">
      <c r="B7" s="45"/>
      <c r="C7" s="42"/>
      <c r="D7" s="46"/>
    </row>
    <row r="8" spans="1:7" x14ac:dyDescent="0.2">
      <c r="B8" s="45"/>
      <c r="C8" s="42"/>
      <c r="D8" s="46"/>
    </row>
    <row r="9" spans="1:7" x14ac:dyDescent="0.2">
      <c r="B9" s="45"/>
      <c r="C9" s="42"/>
      <c r="D9" s="46"/>
    </row>
    <row r="10" spans="1:7" x14ac:dyDescent="0.2">
      <c r="B10" s="45"/>
      <c r="C10" s="42"/>
      <c r="D10" s="46"/>
    </row>
    <row r="11" spans="1:7" x14ac:dyDescent="0.2">
      <c r="B11" s="45"/>
      <c r="C11" s="42"/>
      <c r="D11" s="46"/>
    </row>
    <row r="12" spans="1:7" x14ac:dyDescent="0.2">
      <c r="B12" s="45"/>
      <c r="C12" s="42"/>
      <c r="D12" s="46"/>
    </row>
    <row r="13" spans="1:7" x14ac:dyDescent="0.2">
      <c r="B13" s="45"/>
      <c r="C13" s="42"/>
      <c r="D13" s="46"/>
    </row>
    <row r="14" spans="1:7" x14ac:dyDescent="0.2">
      <c r="B14" s="45"/>
      <c r="C14" s="42"/>
      <c r="D14" s="46"/>
    </row>
    <row r="15" spans="1:7" x14ac:dyDescent="0.2">
      <c r="B15" s="45"/>
      <c r="C15" s="42"/>
      <c r="D15" s="46"/>
    </row>
    <row r="16" spans="1:7" x14ac:dyDescent="0.2">
      <c r="B16" s="45"/>
      <c r="C16" s="42"/>
      <c r="D16" s="46"/>
    </row>
    <row r="17" spans="2:4" x14ac:dyDescent="0.2">
      <c r="B17" s="45"/>
      <c r="C17" s="42"/>
      <c r="D17" s="46"/>
    </row>
    <row r="18" spans="2:4" x14ac:dyDescent="0.2">
      <c r="B18" s="45"/>
      <c r="C18" s="42"/>
      <c r="D18" s="46"/>
    </row>
    <row r="19" spans="2:4" x14ac:dyDescent="0.2">
      <c r="B19" s="45"/>
      <c r="C19" s="42"/>
      <c r="D19" s="46"/>
    </row>
    <row r="20" spans="2:4" x14ac:dyDescent="0.2">
      <c r="B20" s="45"/>
      <c r="C20" s="42"/>
      <c r="D20" s="4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B7" sqref="B7:D7"/>
    </sheetView>
  </sheetViews>
  <sheetFormatPr baseColWidth="10" defaultRowHeight="16" x14ac:dyDescent="0.2"/>
  <cols>
    <col min="2" max="2" width="22.83203125" bestFit="1" customWidth="1"/>
    <col min="3" max="3" width="46.33203125" customWidth="1"/>
    <col min="4" max="4" width="54.83203125" customWidth="1"/>
  </cols>
  <sheetData>
    <row r="2" spans="1:7" ht="63" x14ac:dyDescent="0.75">
      <c r="B2" s="61" t="s">
        <v>9</v>
      </c>
      <c r="C2" s="61"/>
      <c r="D2" s="61"/>
      <c r="E2" s="2"/>
      <c r="F2" s="2"/>
      <c r="G2" s="2"/>
    </row>
    <row r="3" spans="1:7" x14ac:dyDescent="0.2">
      <c r="B3" s="8"/>
      <c r="C3" s="8"/>
      <c r="D3" s="8"/>
    </row>
    <row r="4" spans="1:7" x14ac:dyDescent="0.2">
      <c r="A4" s="1"/>
      <c r="B4" s="37" t="s">
        <v>10</v>
      </c>
      <c r="C4" s="38" t="s">
        <v>7</v>
      </c>
      <c r="D4" s="4" t="s">
        <v>11</v>
      </c>
    </row>
    <row r="5" spans="1:7" x14ac:dyDescent="0.2">
      <c r="B5" s="39" t="s">
        <v>33</v>
      </c>
      <c r="C5" s="40" t="s">
        <v>35</v>
      </c>
      <c r="D5" s="49" t="s">
        <v>36</v>
      </c>
    </row>
    <row r="6" spans="1:7" x14ac:dyDescent="0.2">
      <c r="B6" s="39" t="s">
        <v>38</v>
      </c>
      <c r="C6" s="40" t="s">
        <v>39</v>
      </c>
      <c r="D6" s="49" t="s">
        <v>37</v>
      </c>
    </row>
    <row r="7" spans="1:7" x14ac:dyDescent="0.2">
      <c r="B7" s="41" t="s">
        <v>57</v>
      </c>
      <c r="C7" s="42" t="s">
        <v>58</v>
      </c>
      <c r="D7" s="50" t="s">
        <v>56</v>
      </c>
    </row>
    <row r="8" spans="1:7" x14ac:dyDescent="0.2">
      <c r="B8" s="41"/>
      <c r="C8" s="42"/>
      <c r="D8" s="50"/>
    </row>
    <row r="9" spans="1:7" x14ac:dyDescent="0.2">
      <c r="B9" s="41"/>
      <c r="C9" s="42"/>
      <c r="D9" s="50"/>
    </row>
    <row r="10" spans="1:7" x14ac:dyDescent="0.2">
      <c r="B10" s="41"/>
      <c r="C10" s="42"/>
      <c r="D10" s="33"/>
    </row>
    <row r="11" spans="1:7" x14ac:dyDescent="0.2">
      <c r="B11" s="41"/>
      <c r="C11" s="42"/>
      <c r="D11" s="33"/>
    </row>
    <row r="12" spans="1:7" x14ac:dyDescent="0.2">
      <c r="B12" s="41"/>
      <c r="C12" s="42"/>
      <c r="D12" s="33"/>
    </row>
    <row r="13" spans="1:7" x14ac:dyDescent="0.2">
      <c r="B13" s="41"/>
      <c r="C13" s="42"/>
      <c r="D13" s="33"/>
    </row>
    <row r="14" spans="1:7" x14ac:dyDescent="0.2">
      <c r="B14" s="41"/>
      <c r="C14" s="42"/>
      <c r="D14" s="33"/>
    </row>
    <row r="15" spans="1:7" x14ac:dyDescent="0.2">
      <c r="B15" s="41"/>
      <c r="C15" s="42"/>
      <c r="D15" s="33"/>
    </row>
    <row r="16" spans="1:7" x14ac:dyDescent="0.2">
      <c r="B16" s="41"/>
      <c r="C16" s="42"/>
      <c r="D16" s="33"/>
    </row>
    <row r="17" spans="2:4" x14ac:dyDescent="0.2">
      <c r="B17" s="41"/>
      <c r="C17" s="42"/>
      <c r="D17" s="33"/>
    </row>
    <row r="18" spans="2:4" x14ac:dyDescent="0.2">
      <c r="B18" s="41"/>
      <c r="C18" s="42"/>
      <c r="D18" s="33"/>
    </row>
    <row r="19" spans="2:4" x14ac:dyDescent="0.2">
      <c r="B19" s="41"/>
      <c r="C19" s="42"/>
      <c r="D19" s="33"/>
    </row>
    <row r="20" spans="2:4" x14ac:dyDescent="0.2">
      <c r="B20" s="41"/>
      <c r="C20" s="42"/>
      <c r="D20" s="33"/>
    </row>
  </sheetData>
  <mergeCells count="1">
    <mergeCell ref="B2:D2"/>
  </mergeCells>
  <hyperlinks>
    <hyperlink ref="D5" r:id="rId1" xr:uid="{425F8A79-9AB4-514F-B446-469E3B5F6E90}"/>
    <hyperlink ref="D6" r:id="rId2" display="https://www.iso.org/standard/70918.html" xr:uid="{97A96285-4424-A546-9737-BAB80221F2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M29"/>
  <sheetViews>
    <sheetView zoomScaleNormal="100" workbookViewId="0">
      <pane ySplit="4" topLeftCell="A5" activePane="bottomLeft" state="frozen"/>
      <selection pane="bottomLeft" activeCell="L43" sqref="L43"/>
    </sheetView>
  </sheetViews>
  <sheetFormatPr baseColWidth="10" defaultRowHeight="16" x14ac:dyDescent="0.2"/>
  <cols>
    <col min="2" max="2" width="13" bestFit="1" customWidth="1"/>
    <col min="3" max="3" width="26.83203125" bestFit="1" customWidth="1"/>
    <col min="4" max="4" width="8.83203125" bestFit="1" customWidth="1"/>
    <col min="5" max="5" width="13.6640625" bestFit="1" customWidth="1"/>
    <col min="6" max="6" width="66.33203125" style="54" bestFit="1" customWidth="1"/>
    <col min="7" max="7" width="8.5" bestFit="1" customWidth="1"/>
    <col min="8" max="9" width="13" bestFit="1" customWidth="1"/>
    <col min="10" max="10" width="14.1640625" customWidth="1"/>
  </cols>
  <sheetData>
    <row r="2" spans="1:13" ht="63" x14ac:dyDescent="0.75">
      <c r="B2" s="61" t="s">
        <v>30</v>
      </c>
      <c r="C2" s="61"/>
      <c r="D2" s="61"/>
      <c r="E2" s="61"/>
      <c r="F2" s="61"/>
      <c r="G2" s="61"/>
      <c r="H2" s="61"/>
      <c r="I2" s="61"/>
      <c r="J2" s="61"/>
      <c r="K2" s="2"/>
      <c r="L2" s="2"/>
      <c r="M2" s="2"/>
    </row>
    <row r="3" spans="1:13" x14ac:dyDescent="0.2">
      <c r="B3" s="8"/>
      <c r="C3" s="8"/>
      <c r="D3" s="8"/>
      <c r="E3" s="8"/>
      <c r="F3" s="53"/>
      <c r="G3" s="8"/>
      <c r="H3" s="8"/>
      <c r="I3" s="8"/>
      <c r="J3" s="8"/>
    </row>
    <row r="4" spans="1:13" ht="34" x14ac:dyDescent="0.2">
      <c r="A4" s="1"/>
      <c r="B4" s="13" t="s">
        <v>25</v>
      </c>
      <c r="C4" s="13" t="s">
        <v>1</v>
      </c>
      <c r="D4" s="13" t="s">
        <v>32</v>
      </c>
      <c r="E4" s="3" t="s">
        <v>31</v>
      </c>
      <c r="F4" s="3" t="s">
        <v>28</v>
      </c>
      <c r="G4" s="14" t="s">
        <v>24</v>
      </c>
      <c r="H4" s="14" t="s">
        <v>59</v>
      </c>
      <c r="I4" s="14" t="s">
        <v>60</v>
      </c>
      <c r="J4" s="4" t="s">
        <v>12</v>
      </c>
    </row>
    <row r="5" spans="1:13" x14ac:dyDescent="0.2">
      <c r="B5" s="51" t="s">
        <v>43</v>
      </c>
      <c r="C5" s="15" t="s">
        <v>49</v>
      </c>
      <c r="D5" s="52" t="s">
        <v>52</v>
      </c>
      <c r="E5" s="16" t="s">
        <v>55</v>
      </c>
      <c r="F5" s="17" t="s">
        <v>54</v>
      </c>
      <c r="G5" s="18">
        <v>10</v>
      </c>
      <c r="H5" s="19" t="str">
        <f>VLOOKUP(G5,[0]!RQ_start:RQ_end,2,TRUE)</f>
        <v>critical</v>
      </c>
      <c r="I5" s="19" t="str">
        <f>VLOOKUP(G5,[0]!DQ_start:DQ_end,2,TRUE)</f>
        <v>high</v>
      </c>
      <c r="J5" s="20"/>
    </row>
    <row r="6" spans="1:13" ht="17" x14ac:dyDescent="0.2">
      <c r="B6" s="51" t="s">
        <v>44</v>
      </c>
      <c r="C6" s="15" t="s">
        <v>50</v>
      </c>
      <c r="D6" s="52" t="s">
        <v>52</v>
      </c>
      <c r="E6" s="16" t="s">
        <v>55</v>
      </c>
      <c r="F6" s="17" t="s">
        <v>54</v>
      </c>
      <c r="G6" s="18">
        <v>10</v>
      </c>
      <c r="H6" s="19" t="str">
        <f>VLOOKUP(G6,[0]!RQ_start:RQ_end,2,TRUE)</f>
        <v>critical</v>
      </c>
      <c r="I6" s="19" t="str">
        <f>VLOOKUP(G6,[0]!DQ_start:DQ_end,2,TRUE)</f>
        <v>high</v>
      </c>
      <c r="J6" s="20"/>
    </row>
    <row r="7" spans="1:13" ht="17" x14ac:dyDescent="0.2">
      <c r="B7" s="51" t="s">
        <v>45</v>
      </c>
      <c r="C7" s="15" t="s">
        <v>51</v>
      </c>
      <c r="D7" s="52" t="s">
        <v>52</v>
      </c>
      <c r="E7" s="16" t="s">
        <v>55</v>
      </c>
      <c r="F7" s="17" t="s">
        <v>54</v>
      </c>
      <c r="G7" s="18">
        <v>10</v>
      </c>
      <c r="H7" s="19" t="str">
        <f>VLOOKUP(G7,[0]!RQ_start:RQ_end,2,TRUE)</f>
        <v>critical</v>
      </c>
      <c r="I7" s="19" t="str">
        <f>VLOOKUP(G7,[0]!DQ_start:DQ_end,2,TRUE)</f>
        <v>high</v>
      </c>
      <c r="J7" s="24"/>
    </row>
    <row r="8" spans="1:13" ht="17" x14ac:dyDescent="0.2">
      <c r="B8" s="51" t="s">
        <v>46</v>
      </c>
      <c r="C8" s="15" t="s">
        <v>49</v>
      </c>
      <c r="D8" s="52" t="s">
        <v>53</v>
      </c>
      <c r="E8" s="16" t="s">
        <v>55</v>
      </c>
      <c r="F8" s="17" t="s">
        <v>54</v>
      </c>
      <c r="G8" s="18">
        <v>10</v>
      </c>
      <c r="H8" s="19" t="str">
        <f>VLOOKUP(G8,[0]!RQ_start:RQ_end,2,TRUE)</f>
        <v>critical</v>
      </c>
      <c r="I8" s="19" t="str">
        <f>VLOOKUP(G8,[0]!DQ_start:DQ_end,2,TRUE)</f>
        <v>high</v>
      </c>
      <c r="J8" s="24"/>
    </row>
    <row r="9" spans="1:13" ht="17" x14ac:dyDescent="0.2">
      <c r="B9" s="51" t="s">
        <v>47</v>
      </c>
      <c r="C9" s="15" t="s">
        <v>50</v>
      </c>
      <c r="D9" s="52" t="s">
        <v>53</v>
      </c>
      <c r="E9" s="16" t="s">
        <v>55</v>
      </c>
      <c r="F9" s="17" t="s">
        <v>54</v>
      </c>
      <c r="G9" s="18">
        <v>10</v>
      </c>
      <c r="H9" s="19" t="str">
        <f>VLOOKUP(G9,[0]!RQ_start:RQ_end,2,TRUE)</f>
        <v>critical</v>
      </c>
      <c r="I9" s="19" t="str">
        <f>VLOOKUP(G9,[0]!DQ_start:DQ_end,2,TRUE)</f>
        <v>high</v>
      </c>
      <c r="J9" s="24"/>
    </row>
    <row r="10" spans="1:13" ht="17" x14ac:dyDescent="0.2">
      <c r="B10" s="51" t="s">
        <v>48</v>
      </c>
      <c r="C10" s="15" t="s">
        <v>51</v>
      </c>
      <c r="D10" s="52" t="s">
        <v>53</v>
      </c>
      <c r="E10" s="16" t="s">
        <v>55</v>
      </c>
      <c r="F10" s="17" t="s">
        <v>54</v>
      </c>
      <c r="G10" s="18">
        <v>10</v>
      </c>
      <c r="H10" s="19" t="str">
        <f>VLOOKUP(G10,[0]!RQ_start:RQ_end,2,TRUE)</f>
        <v>critical</v>
      </c>
      <c r="I10" s="19" t="str">
        <f>VLOOKUP(G10,[0]!DQ_start:DQ_end,2,TRUE)</f>
        <v>high</v>
      </c>
      <c r="J10" s="24"/>
    </row>
    <row r="11" spans="1:13" x14ac:dyDescent="0.2">
      <c r="B11" s="21"/>
      <c r="C11" s="21"/>
      <c r="D11" s="21"/>
      <c r="E11" s="22"/>
      <c r="F11" s="23"/>
      <c r="G11" s="18"/>
      <c r="H11" s="19" t="str">
        <f>VLOOKUP(G11,[0]!RQ_start:RQ_end,2,TRUE)</f>
        <v>none</v>
      </c>
      <c r="I11" s="19" t="str">
        <f>VLOOKUP(G11,[0]!DQ_start:DQ_end,2,TRUE)</f>
        <v>none</v>
      </c>
      <c r="J11" s="24"/>
    </row>
    <row r="12" spans="1:13" x14ac:dyDescent="0.2">
      <c r="B12" s="21"/>
      <c r="C12" s="21"/>
      <c r="D12" s="21"/>
      <c r="E12" s="22"/>
      <c r="F12" s="23"/>
      <c r="G12" s="18"/>
      <c r="H12" s="19" t="str">
        <f>VLOOKUP(G12,[0]!RQ_start:RQ_end,2,TRUE)</f>
        <v>none</v>
      </c>
      <c r="I12" s="19" t="str">
        <f>VLOOKUP(G12,[0]!DQ_start:DQ_end,2,TRUE)</f>
        <v>none</v>
      </c>
      <c r="J12" s="24"/>
    </row>
    <row r="13" spans="1:13" x14ac:dyDescent="0.2">
      <c r="B13" s="21"/>
      <c r="C13" s="21"/>
      <c r="D13" s="21"/>
      <c r="E13" s="22"/>
      <c r="F13" s="23"/>
      <c r="G13" s="18"/>
      <c r="H13" s="19" t="str">
        <f>VLOOKUP(G13,[0]!RQ_start:RQ_end,2,TRUE)</f>
        <v>none</v>
      </c>
      <c r="I13" s="19" t="str">
        <f>VLOOKUP(G13,[0]!DQ_start:DQ_end,2,TRUE)</f>
        <v>none</v>
      </c>
      <c r="J13" s="24"/>
    </row>
    <row r="14" spans="1:13" x14ac:dyDescent="0.2">
      <c r="B14" s="21"/>
      <c r="C14" s="21"/>
      <c r="D14" s="21"/>
      <c r="E14" s="22"/>
      <c r="F14" s="23"/>
      <c r="G14" s="18"/>
      <c r="H14" s="19" t="str">
        <f>VLOOKUP(G14,[0]!RQ_start:RQ_end,2,TRUE)</f>
        <v>none</v>
      </c>
      <c r="I14" s="19" t="str">
        <f>VLOOKUP(G14,[0]!DQ_start:DQ_end,2,TRUE)</f>
        <v>none</v>
      </c>
      <c r="J14" s="24"/>
    </row>
    <row r="15" spans="1:13" x14ac:dyDescent="0.2">
      <c r="B15" s="21"/>
      <c r="C15" s="21"/>
      <c r="D15" s="21"/>
      <c r="E15" s="22"/>
      <c r="F15" s="23"/>
      <c r="G15" s="18"/>
      <c r="H15" s="19" t="str">
        <f>VLOOKUP(G15,[0]!RQ_start:RQ_end,2,TRUE)</f>
        <v>none</v>
      </c>
      <c r="I15" s="19" t="str">
        <f>VLOOKUP(G15,[0]!DQ_start:DQ_end,2,TRUE)</f>
        <v>none</v>
      </c>
      <c r="J15" s="24"/>
    </row>
    <row r="16" spans="1:13" x14ac:dyDescent="0.2">
      <c r="B16" s="21"/>
      <c r="C16" s="21"/>
      <c r="D16" s="21"/>
      <c r="E16" s="22"/>
      <c r="F16" s="23"/>
      <c r="G16" s="18"/>
      <c r="H16" s="19" t="str">
        <f>VLOOKUP(G16,[0]!RQ_start:RQ_end,2,TRUE)</f>
        <v>none</v>
      </c>
      <c r="I16" s="19" t="str">
        <f>VLOOKUP(G16,[0]!DQ_start:DQ_end,2,TRUE)</f>
        <v>none</v>
      </c>
      <c r="J16" s="24"/>
    </row>
    <row r="17" spans="2:10" x14ac:dyDescent="0.2">
      <c r="B17" s="21"/>
      <c r="C17" s="21"/>
      <c r="D17" s="21"/>
      <c r="E17" s="22"/>
      <c r="F17" s="23"/>
      <c r="G17" s="18"/>
      <c r="H17" s="19" t="str">
        <f>VLOOKUP(G17,[0]!RQ_start:RQ_end,2,TRUE)</f>
        <v>none</v>
      </c>
      <c r="I17" s="19" t="str">
        <f>VLOOKUP(G17,[0]!DQ_start:DQ_end,2,TRUE)</f>
        <v>none</v>
      </c>
      <c r="J17" s="24"/>
    </row>
    <row r="18" spans="2:10" x14ac:dyDescent="0.2">
      <c r="B18" s="21"/>
      <c r="C18" s="21"/>
      <c r="D18" s="21"/>
      <c r="E18" s="22"/>
      <c r="F18" s="23"/>
      <c r="G18" s="18"/>
      <c r="H18" s="19" t="str">
        <f>VLOOKUP(G18,[0]!RQ_start:RQ_end,2,TRUE)</f>
        <v>none</v>
      </c>
      <c r="I18" s="19" t="str">
        <f>VLOOKUP(G18,[0]!DQ_start:DQ_end,2,TRUE)</f>
        <v>none</v>
      </c>
      <c r="J18" s="24"/>
    </row>
    <row r="19" spans="2:10" x14ac:dyDescent="0.2">
      <c r="B19" s="21"/>
      <c r="C19" s="21"/>
      <c r="D19" s="21"/>
      <c r="E19" s="22"/>
      <c r="F19" s="23"/>
      <c r="G19" s="18"/>
      <c r="H19" s="19" t="str">
        <f>VLOOKUP(G19,[0]!RQ_start:RQ_end,2,TRUE)</f>
        <v>none</v>
      </c>
      <c r="I19" s="19" t="str">
        <f>VLOOKUP(G19,[0]!DQ_start:DQ_end,2,TRUE)</f>
        <v>none</v>
      </c>
      <c r="J19" s="24"/>
    </row>
    <row r="20" spans="2:10" x14ac:dyDescent="0.2">
      <c r="B20" s="21"/>
      <c r="C20" s="21"/>
      <c r="D20" s="21"/>
      <c r="E20" s="22"/>
      <c r="F20" s="23"/>
      <c r="G20" s="18"/>
      <c r="H20" s="19" t="str">
        <f>VLOOKUP(G20,[0]!RQ_start:RQ_end,2,TRUE)</f>
        <v>none</v>
      </c>
      <c r="I20" s="19" t="str">
        <f>VLOOKUP(G20,[0]!DQ_start:DQ_end,2,TRUE)</f>
        <v>none</v>
      </c>
      <c r="J20" s="24"/>
    </row>
    <row r="21" spans="2:10" x14ac:dyDescent="0.2">
      <c r="B21" s="8"/>
      <c r="C21" s="8"/>
      <c r="D21" s="8"/>
      <c r="E21" s="8"/>
      <c r="F21" s="53"/>
      <c r="G21" s="8"/>
      <c r="H21" s="8"/>
      <c r="I21" s="8"/>
      <c r="J21" s="8"/>
    </row>
    <row r="22" spans="2:10" x14ac:dyDescent="0.2">
      <c r="B22" s="8"/>
      <c r="C22" s="8"/>
      <c r="D22" s="8"/>
      <c r="E22" s="8"/>
      <c r="F22" s="53"/>
      <c r="G22" s="8"/>
      <c r="H22" s="8"/>
      <c r="I22" s="8"/>
      <c r="J22" s="8"/>
    </row>
    <row r="23" spans="2:10" x14ac:dyDescent="0.2">
      <c r="B23" s="8"/>
      <c r="C23" s="8"/>
      <c r="D23" s="8"/>
      <c r="E23" s="8"/>
      <c r="F23" s="53"/>
      <c r="G23" s="8"/>
      <c r="H23" s="8"/>
      <c r="I23" s="8"/>
      <c r="J23" s="8"/>
    </row>
    <row r="24" spans="2:10" x14ac:dyDescent="0.2">
      <c r="B24" s="8"/>
      <c r="C24" s="8"/>
      <c r="D24" s="8"/>
      <c r="E24" s="8"/>
      <c r="F24" s="53"/>
      <c r="G24" s="8"/>
      <c r="H24" s="8"/>
      <c r="I24" s="8"/>
      <c r="J24" s="8"/>
    </row>
    <row r="25" spans="2:10" x14ac:dyDescent="0.2">
      <c r="B25" s="8"/>
      <c r="C25" s="8"/>
      <c r="D25" s="8"/>
      <c r="E25" s="8"/>
      <c r="F25" s="53"/>
      <c r="G25" s="8"/>
      <c r="H25" s="8"/>
      <c r="I25" s="8"/>
      <c r="J25" s="8"/>
    </row>
    <row r="26" spans="2:10" x14ac:dyDescent="0.2">
      <c r="B26" s="8"/>
      <c r="C26" s="8"/>
      <c r="D26" s="8"/>
      <c r="E26" s="8"/>
      <c r="F26" s="53"/>
      <c r="G26" s="8"/>
      <c r="H26" s="8"/>
      <c r="I26" s="8"/>
      <c r="J26" s="8"/>
    </row>
    <row r="27" spans="2:10" x14ac:dyDescent="0.2">
      <c r="B27" s="8"/>
      <c r="C27" s="8"/>
      <c r="D27" s="8"/>
      <c r="E27" s="8"/>
      <c r="F27" s="53"/>
      <c r="G27" s="8"/>
      <c r="H27" s="8"/>
      <c r="I27" s="8"/>
      <c r="J27" s="8"/>
    </row>
    <row r="28" spans="2:10" x14ac:dyDescent="0.2">
      <c r="B28" s="8"/>
      <c r="C28" s="8"/>
      <c r="D28" s="8"/>
      <c r="E28" s="8"/>
      <c r="F28" s="53"/>
      <c r="G28" s="8"/>
      <c r="H28" s="8"/>
      <c r="I28" s="8"/>
      <c r="J28" s="8"/>
    </row>
    <row r="29" spans="2:10" ht="20" x14ac:dyDescent="0.2">
      <c r="B29" s="62" t="s">
        <v>40</v>
      </c>
      <c r="C29" s="62"/>
      <c r="D29" s="62"/>
      <c r="E29" s="62"/>
      <c r="F29" s="62"/>
      <c r="G29" s="62"/>
      <c r="H29" s="62"/>
      <c r="I29" s="62"/>
      <c r="J29" s="62"/>
    </row>
  </sheetData>
  <dataConsolidate/>
  <mergeCells count="2">
    <mergeCell ref="B2:J2"/>
    <mergeCell ref="B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H20"/>
  <sheetViews>
    <sheetView zoomScaleNormal="100" workbookViewId="0">
      <pane ySplit="4" topLeftCell="A5" activePane="bottomLeft" state="frozen"/>
      <selection pane="bottomLeft" activeCell="I23" sqref="I23"/>
    </sheetView>
  </sheetViews>
  <sheetFormatPr baseColWidth="10" defaultRowHeight="16" x14ac:dyDescent="0.2"/>
  <cols>
    <col min="3" max="3" width="11.5" customWidth="1"/>
    <col min="4" max="4" width="26.5" customWidth="1"/>
    <col min="5" max="5" width="31.6640625" customWidth="1"/>
  </cols>
  <sheetData>
    <row r="2" spans="1:8" ht="63" x14ac:dyDescent="0.75">
      <c r="B2" s="61" t="s">
        <v>14</v>
      </c>
      <c r="C2" s="61"/>
      <c r="D2" s="61"/>
      <c r="E2" s="61"/>
      <c r="F2" s="2"/>
      <c r="G2" s="2"/>
      <c r="H2" s="2"/>
    </row>
    <row r="3" spans="1:8" x14ac:dyDescent="0.2">
      <c r="B3" s="8"/>
      <c r="C3" s="8"/>
      <c r="D3" s="8"/>
      <c r="E3" s="8"/>
    </row>
    <row r="4" spans="1:8" x14ac:dyDescent="0.2">
      <c r="A4" s="1"/>
      <c r="B4" s="13" t="s">
        <v>15</v>
      </c>
      <c r="C4" s="13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23</v>
      </c>
    </row>
    <row r="6" spans="1:8" x14ac:dyDescent="0.2">
      <c r="B6" s="28">
        <v>1E-4</v>
      </c>
      <c r="C6" s="29" t="s">
        <v>19</v>
      </c>
      <c r="D6" s="30"/>
      <c r="E6" s="31"/>
    </row>
    <row r="7" spans="1:8" x14ac:dyDescent="0.2">
      <c r="B7" s="28">
        <v>4</v>
      </c>
      <c r="C7" s="29" t="s">
        <v>20</v>
      </c>
      <c r="D7" s="30"/>
      <c r="E7" s="31"/>
    </row>
    <row r="8" spans="1:8" x14ac:dyDescent="0.2">
      <c r="B8" s="28">
        <v>7</v>
      </c>
      <c r="C8" s="29" t="s">
        <v>21</v>
      </c>
      <c r="D8" s="30"/>
      <c r="E8" s="31"/>
    </row>
    <row r="9" spans="1:8" x14ac:dyDescent="0.2">
      <c r="B9" s="28">
        <v>9</v>
      </c>
      <c r="C9" s="29" t="s">
        <v>22</v>
      </c>
      <c r="D9" s="30"/>
      <c r="E9" s="31"/>
    </row>
    <row r="10" spans="1:8" x14ac:dyDescent="0.2">
      <c r="B10" s="32"/>
      <c r="C10" s="15"/>
      <c r="D10" s="33"/>
      <c r="E10" s="15"/>
    </row>
    <row r="11" spans="1:8" x14ac:dyDescent="0.2">
      <c r="B11" s="32"/>
      <c r="C11" s="15"/>
      <c r="D11" s="33"/>
      <c r="E11" s="15"/>
    </row>
    <row r="12" spans="1:8" x14ac:dyDescent="0.2">
      <c r="B12" s="32"/>
      <c r="C12" s="15"/>
      <c r="D12" s="33"/>
      <c r="E12" s="15"/>
    </row>
    <row r="13" spans="1:8" x14ac:dyDescent="0.2">
      <c r="B13" s="32"/>
      <c r="C13" s="15"/>
      <c r="D13" s="15"/>
      <c r="E13" s="15"/>
    </row>
    <row r="14" spans="1:8" x14ac:dyDescent="0.2">
      <c r="B14" s="32"/>
      <c r="C14" s="15"/>
      <c r="D14" s="15"/>
      <c r="E14" s="15"/>
    </row>
    <row r="15" spans="1:8" x14ac:dyDescent="0.2">
      <c r="B15" s="32"/>
      <c r="C15" s="15"/>
      <c r="D15" s="15"/>
      <c r="E15" s="15"/>
    </row>
    <row r="16" spans="1:8" x14ac:dyDescent="0.2">
      <c r="B16" s="32"/>
      <c r="C16" s="15"/>
      <c r="D16" s="15"/>
      <c r="E16" s="15"/>
    </row>
    <row r="17" spans="2:5" x14ac:dyDescent="0.2">
      <c r="B17" s="32"/>
      <c r="C17" s="15"/>
      <c r="D17" s="15"/>
      <c r="E17" s="15"/>
    </row>
    <row r="18" spans="2:5" x14ac:dyDescent="0.2">
      <c r="B18" s="34"/>
      <c r="C18" s="35"/>
      <c r="D18" s="30"/>
      <c r="E18" s="36"/>
    </row>
    <row r="19" spans="2:5" x14ac:dyDescent="0.2">
      <c r="B19" s="28"/>
      <c r="C19" s="29"/>
      <c r="D19" s="30"/>
      <c r="E19" s="31"/>
    </row>
    <row r="20" spans="2:5" x14ac:dyDescent="0.2">
      <c r="B20" s="28"/>
      <c r="C20" s="29"/>
      <c r="D20" s="30"/>
      <c r="E20" s="31"/>
    </row>
  </sheetData>
  <dataConsolidate/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5AB0-A0ED-7242-B015-C96720BEBE75}">
  <dimension ref="A2:H20"/>
  <sheetViews>
    <sheetView zoomScaleNormal="100" workbookViewId="0">
      <pane ySplit="4" topLeftCell="A5" activePane="bottomLeft" state="frozen"/>
      <selection pane="bottomLeft" activeCell="J30" sqref="J30"/>
    </sheetView>
  </sheetViews>
  <sheetFormatPr baseColWidth="10" defaultRowHeight="16" x14ac:dyDescent="0.2"/>
  <cols>
    <col min="3" max="3" width="11.5" customWidth="1"/>
    <col min="4" max="4" width="26.5" customWidth="1"/>
    <col min="5" max="5" width="32.1640625" customWidth="1"/>
  </cols>
  <sheetData>
    <row r="2" spans="1:8" ht="63" x14ac:dyDescent="0.75">
      <c r="B2" s="61" t="s">
        <v>27</v>
      </c>
      <c r="C2" s="61"/>
      <c r="D2" s="61"/>
      <c r="E2" s="61"/>
      <c r="F2" s="2"/>
      <c r="G2" s="2"/>
      <c r="H2" s="2"/>
    </row>
    <row r="3" spans="1:8" x14ac:dyDescent="0.2">
      <c r="B3" s="8"/>
      <c r="C3" s="8"/>
      <c r="D3" s="8"/>
      <c r="E3" s="8"/>
    </row>
    <row r="4" spans="1:8" x14ac:dyDescent="0.2">
      <c r="A4" s="1"/>
      <c r="B4" s="13" t="s">
        <v>15</v>
      </c>
      <c r="C4" s="13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23</v>
      </c>
    </row>
    <row r="6" spans="1:8" x14ac:dyDescent="0.2">
      <c r="B6" s="28">
        <v>1E-4</v>
      </c>
      <c r="C6" s="29" t="s">
        <v>26</v>
      </c>
      <c r="D6" s="30"/>
      <c r="E6" s="31"/>
    </row>
    <row r="7" spans="1:8" x14ac:dyDescent="0.2">
      <c r="B7" s="28">
        <v>4</v>
      </c>
      <c r="C7" s="29" t="s">
        <v>19</v>
      </c>
      <c r="D7" s="30"/>
      <c r="E7" s="31"/>
    </row>
    <row r="8" spans="1:8" x14ac:dyDescent="0.2">
      <c r="B8" s="28">
        <v>7</v>
      </c>
      <c r="C8" s="29" t="s">
        <v>20</v>
      </c>
      <c r="D8" s="30"/>
      <c r="E8" s="31"/>
    </row>
    <row r="9" spans="1:8" x14ac:dyDescent="0.2">
      <c r="B9" s="28">
        <v>9</v>
      </c>
      <c r="C9" s="29" t="s">
        <v>21</v>
      </c>
      <c r="D9" s="30"/>
      <c r="E9" s="31"/>
    </row>
    <row r="10" spans="1:8" x14ac:dyDescent="0.2">
      <c r="B10" s="32"/>
      <c r="C10" s="15"/>
      <c r="D10" s="33"/>
      <c r="E10" s="15"/>
    </row>
    <row r="11" spans="1:8" x14ac:dyDescent="0.2">
      <c r="B11" s="32"/>
      <c r="C11" s="15"/>
      <c r="D11" s="33"/>
      <c r="E11" s="15"/>
    </row>
    <row r="12" spans="1:8" x14ac:dyDescent="0.2">
      <c r="B12" s="32"/>
      <c r="C12" s="15"/>
      <c r="D12" s="33"/>
      <c r="E12" s="15"/>
    </row>
    <row r="13" spans="1:8" x14ac:dyDescent="0.2">
      <c r="B13" s="32"/>
      <c r="C13" s="15"/>
      <c r="D13" s="15"/>
      <c r="E13" s="15"/>
    </row>
    <row r="14" spans="1:8" x14ac:dyDescent="0.2">
      <c r="B14" s="32"/>
      <c r="C14" s="15"/>
      <c r="D14" s="15"/>
      <c r="E14" s="15"/>
    </row>
    <row r="15" spans="1:8" x14ac:dyDescent="0.2">
      <c r="B15" s="32"/>
      <c r="C15" s="15"/>
      <c r="D15" s="15"/>
      <c r="E15" s="15"/>
    </row>
    <row r="16" spans="1:8" x14ac:dyDescent="0.2">
      <c r="B16" s="32"/>
      <c r="C16" s="15"/>
      <c r="D16" s="15"/>
      <c r="E16" s="15"/>
    </row>
    <row r="17" spans="2:5" x14ac:dyDescent="0.2">
      <c r="B17" s="32"/>
      <c r="C17" s="15"/>
      <c r="D17" s="15"/>
      <c r="E17" s="15"/>
    </row>
    <row r="18" spans="2:5" x14ac:dyDescent="0.2">
      <c r="B18" s="34"/>
      <c r="C18" s="35"/>
      <c r="D18" s="30"/>
      <c r="E18" s="36"/>
    </row>
    <row r="19" spans="2:5" x14ac:dyDescent="0.2">
      <c r="B19" s="28"/>
      <c r="C19" s="29"/>
      <c r="D19" s="30"/>
      <c r="E19" s="31"/>
    </row>
    <row r="20" spans="2:5" x14ac:dyDescent="0.2">
      <c r="B20" s="28"/>
      <c r="C20" s="29"/>
      <c r="D20" s="30"/>
      <c r="E20" s="31"/>
    </row>
  </sheetData>
  <dataConsolidate/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G29" sqref="G29"/>
    </sheetView>
  </sheetViews>
  <sheetFormatPr baseColWidth="10" defaultRowHeight="16" x14ac:dyDescent="0.2"/>
  <cols>
    <col min="1" max="1" width="19.33203125" style="8" customWidth="1"/>
    <col min="2" max="2" width="13.33203125" style="8" bestFit="1" customWidth="1"/>
    <col min="3" max="3" width="10.6640625" style="8" customWidth="1"/>
    <col min="4" max="4" width="14.1640625" style="8" bestFit="1" customWidth="1"/>
    <col min="5" max="5" width="13.1640625" style="8" bestFit="1" customWidth="1"/>
    <col min="6" max="6" width="16.5" style="8" bestFit="1" customWidth="1"/>
    <col min="7" max="7" width="15.1640625" style="8" bestFit="1" customWidth="1"/>
    <col min="8" max="8" width="10.6640625" style="8" bestFit="1" customWidth="1"/>
    <col min="9" max="16384" width="10.83203125" style="8"/>
  </cols>
  <sheetData>
    <row r="1" spans="1:3" s="7" customFormat="1" x14ac:dyDescent="0.2">
      <c r="A1" s="3"/>
      <c r="B1" s="4"/>
      <c r="C1" s="4"/>
    </row>
    <row r="2" spans="1:3" x14ac:dyDescent="0.2">
      <c r="A2" s="5"/>
      <c r="B2" s="6"/>
      <c r="C2" s="6"/>
    </row>
    <row r="3" spans="1:3" x14ac:dyDescent="0.2">
      <c r="A3" s="5"/>
      <c r="C3" s="6"/>
    </row>
    <row r="4" spans="1:3" x14ac:dyDescent="0.2">
      <c r="A4" s="9"/>
      <c r="B4" s="6"/>
      <c r="C4" s="9"/>
    </row>
    <row r="5" spans="1:3" x14ac:dyDescent="0.2">
      <c r="A5" s="9"/>
      <c r="B5" s="9"/>
      <c r="C5" s="9"/>
    </row>
    <row r="6" spans="1:3" x14ac:dyDescent="0.2">
      <c r="A6" s="9"/>
      <c r="B6" s="9"/>
      <c r="C6" s="9"/>
    </row>
    <row r="7" spans="1:3" x14ac:dyDescent="0.2">
      <c r="A7" s="9"/>
      <c r="B7" s="9"/>
      <c r="C7" s="9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9"/>
      <c r="B12" s="9"/>
      <c r="C12" s="9"/>
    </row>
    <row r="13" spans="1:3" x14ac:dyDescent="0.2">
      <c r="A13" s="9"/>
      <c r="B13" s="9"/>
      <c r="C13" s="9"/>
    </row>
    <row r="14" spans="1:3" x14ac:dyDescent="0.2">
      <c r="A14" s="9"/>
      <c r="B14" s="9"/>
      <c r="C14" s="9"/>
    </row>
    <row r="15" spans="1:3" x14ac:dyDescent="0.2">
      <c r="A15" s="9"/>
      <c r="B15" s="9"/>
      <c r="C15" s="9"/>
    </row>
    <row r="16" spans="1:3" x14ac:dyDescent="0.2">
      <c r="A16" s="9"/>
      <c r="B16" s="9"/>
      <c r="C16" s="9"/>
    </row>
    <row r="17" spans="1:8" x14ac:dyDescent="0.2">
      <c r="A17" s="9"/>
      <c r="B17" s="9"/>
      <c r="C17" s="9"/>
    </row>
    <row r="18" spans="1:8" x14ac:dyDescent="0.2">
      <c r="A18" s="9"/>
      <c r="B18" s="9"/>
      <c r="C18" s="9"/>
    </row>
    <row r="19" spans="1:8" x14ac:dyDescent="0.2">
      <c r="A19" s="9"/>
      <c r="B19" s="9"/>
      <c r="C19" s="9"/>
    </row>
    <row r="20" spans="1:8" x14ac:dyDescent="0.2">
      <c r="A20" s="9"/>
      <c r="B20" s="9"/>
      <c r="C20" s="9"/>
    </row>
    <row r="21" spans="1:8" x14ac:dyDescent="0.2">
      <c r="A21" s="9"/>
      <c r="B21" s="9"/>
      <c r="C21" s="9"/>
    </row>
    <row r="25" spans="1:8" ht="379" customHeight="1" x14ac:dyDescent="0.2">
      <c r="A25" s="12" t="s">
        <v>0</v>
      </c>
    </row>
    <row r="29" spans="1:8" x14ac:dyDescent="0.2">
      <c r="C29" s="10" t="s">
        <v>4</v>
      </c>
      <c r="D29" s="11">
        <v>1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cover sheet</vt:lpstr>
      <vt:lpstr>revision history</vt:lpstr>
      <vt:lpstr>references</vt:lpstr>
      <vt:lpstr>ranking</vt:lpstr>
      <vt:lpstr>rubric quantization</vt:lpstr>
      <vt:lpstr>domain quantization</vt:lpstr>
      <vt:lpstr>legend</vt:lpstr>
      <vt:lpstr>DQ_end</vt:lpstr>
      <vt:lpstr>DQ_start</vt:lpstr>
      <vt:lpstr>'domain quantization'!RQ_end</vt:lpstr>
      <vt:lpstr>RQ_end</vt:lpstr>
      <vt:lpstr>'domain quantization'!RQ_start</vt:lpstr>
      <vt:lpstr>RQ_start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system threat modeling threat candidate ranking</dc:title>
  <dc:subject>example system threat modeling threat candidate ranking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2026-08-10T20:58:06Z</dcterms:modified>
  <cp:category>threat prioritization</cp:category>
</cp:coreProperties>
</file>