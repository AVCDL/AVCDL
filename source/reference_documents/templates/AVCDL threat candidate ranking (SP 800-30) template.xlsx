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0D5A9DDB-559E-4F49-B71D-8683D58D09C9}" xr6:coauthVersionLast="47" xr6:coauthVersionMax="47" xr10:uidLastSave="{00000000-0000-0000-0000-000000000000}"/>
  <bookViews>
    <workbookView xWindow="-75780" yWindow="-35100" windowWidth="35060" windowHeight="23360" xr2:uid="{FC1F75FD-599B-E943-AB61-76761819BEA0}"/>
  </bookViews>
  <sheets>
    <sheet name="cover sheet" sheetId="3" r:id="rId1"/>
    <sheet name="revision history" sheetId="4" r:id="rId2"/>
    <sheet name="references" sheetId="5" r:id="rId3"/>
    <sheet name="ranking" sheetId="6" r:id="rId4"/>
    <sheet name="800-30 quantization" sheetId="2" r:id="rId5"/>
    <sheet name="legend" sheetId="7" r:id="rId6"/>
  </sheets>
  <externalReferences>
    <externalReference r:id="rId7"/>
  </externalReferences>
  <definedNames>
    <definedName name="DQ_end">'[1]domain quantization'!$C$20</definedName>
    <definedName name="DQ_start">'[1]domain quantization'!$B$5</definedName>
    <definedName name="high">#REF!</definedName>
    <definedName name="low">#REF!</definedName>
    <definedName name="medium">#REF!</definedName>
    <definedName name="none">#REF!</definedName>
    <definedName name="RQ_comp_e">'800-30 quantization'!$D$20</definedName>
    <definedName name="RQ_comp_s">'800-30 quantization'!$C$5</definedName>
    <definedName name="RQ_end" localSheetId="0">'[1]rubric quantization'!$C$20</definedName>
    <definedName name="RQ_end" localSheetId="5">'[1]rubric quantization'!$C$20</definedName>
    <definedName name="RQ_end" localSheetId="3">'[1]rubric quantization'!$C$20</definedName>
    <definedName name="RQ_end" localSheetId="2">'[1]rubric quantization'!$C$20</definedName>
    <definedName name="RQ_end" localSheetId="1">'[1]rubric quantization'!$C$20</definedName>
    <definedName name="RQ_end">'800-30 quantization'!$C$20</definedName>
    <definedName name="RQ_end_800">'800-30 quantization'!$C$20</definedName>
    <definedName name="RQ_end_comp">'800-30 quantization'!$D$20</definedName>
    <definedName name="RQ_start" localSheetId="0">'[1]rubric quantization'!$B$5</definedName>
    <definedName name="RQ_start" localSheetId="5">'[1]rubric quantization'!$B$5</definedName>
    <definedName name="RQ_start" localSheetId="3">'[1]rubric quantization'!$B$5</definedName>
    <definedName name="RQ_start" localSheetId="2">'[1]rubric quantization'!$B$5</definedName>
    <definedName name="RQ_start" localSheetId="1">'[1]rubric quantization'!$B$5</definedName>
    <definedName name="RQ_start">'800-30 quantization'!$B$5</definedName>
    <definedName name="RQ_start_800">'800-30 quantization'!$B$5</definedName>
    <definedName name="RQ_start_comp">'800-30 quantization'!$C$5</definedName>
    <definedName name="very_high">#REF!</definedName>
    <definedName name="very_lo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0" i="6" l="1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<sst xmlns="http://schemas.openxmlformats.org/spreadsheetml/2006/main" count="96" uniqueCount="42">
  <si>
    <t>min value</t>
  </si>
  <si>
    <t>label</t>
  </si>
  <si>
    <t>description</t>
  </si>
  <si>
    <t>notes</t>
  </si>
  <si>
    <t>none</t>
  </si>
  <si>
    <t>used to enable automation</t>
  </si>
  <si>
    <t>DO NOT REMOVE THIS ENTRY</t>
  </si>
  <si>
    <t>very low</t>
  </si>
  <si>
    <t>low</t>
  </si>
  <si>
    <t>high</t>
  </si>
  <si>
    <t>very high</t>
  </si>
  <si>
    <t>moderate</t>
  </si>
  <si>
    <t>compositing value</t>
  </si>
  <si>
    <t>800-30 Rubric Quantization</t>
  </si>
  <si>
    <t>Threat Candidate Ranking</t>
  </si>
  <si>
    <t>Cybersecurity SME</t>
  </si>
  <si>
    <t>Likelihood Rubric</t>
  </si>
  <si>
    <t>Date</t>
  </si>
  <si>
    <t>Revision</t>
  </si>
  <si>
    <r>
      <t xml:space="preserve">Refer to the </t>
    </r>
    <r>
      <rPr>
        <b/>
        <sz val="18"/>
        <color rgb="FFC00000"/>
        <rFont val="Arial"/>
        <family val="2"/>
      </rPr>
      <t xml:space="preserve">Threat Prioritization - Candidate Ranking Procedure </t>
    </r>
    <r>
      <rPr>
        <sz val="18"/>
        <color rgb="FF00B050"/>
        <rFont val="Arial"/>
        <family val="2"/>
      </rPr>
      <t>for instructions</t>
    </r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</si>
  <si>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</si>
  <si>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</si>
  <si>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</si>
  <si>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</si>
  <si>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</si>
  <si>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</si>
  <si>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</si>
  <si>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Ranking</t>
  </si>
  <si>
    <t>candidate ID</t>
  </si>
  <si>
    <t>element</t>
  </si>
  <si>
    <t>worst case</t>
  </si>
  <si>
    <t>rubric metadata</t>
  </si>
  <si>
    <t>DO NOT EDIT THIS PAGE</t>
  </si>
  <si>
    <t>template revision</t>
  </si>
  <si>
    <t>initiation / occurrence</t>
  </si>
  <si>
    <t>adverse impact</t>
  </si>
  <si>
    <t>N/A</t>
  </si>
  <si>
    <r>
      <t xml:space="preserve">NOTE: The </t>
    </r>
    <r>
      <rPr>
        <sz val="13.25"/>
        <color rgb="FF0070C0"/>
        <rFont val="Arial"/>
        <family val="2"/>
      </rPr>
      <t>initiation / occurrence</t>
    </r>
    <r>
      <rPr>
        <sz val="13.25"/>
        <color rgb="FFFF0000"/>
        <rFont val="Arial"/>
        <family val="2"/>
      </rPr>
      <t xml:space="preserve"> and </t>
    </r>
    <r>
      <rPr>
        <sz val="13.25"/>
        <color rgb="FF0070C0"/>
        <rFont val="Arial"/>
        <family val="2"/>
      </rPr>
      <t>adverse impact</t>
    </r>
    <r>
      <rPr>
        <sz val="13.25"/>
        <color rgb="FFFF0000"/>
        <rFont val="Arial"/>
        <family val="2"/>
      </rPr>
      <t xml:space="preserve"> columns auto populate the </t>
    </r>
    <r>
      <rPr>
        <sz val="13.25"/>
        <color rgb="FF0070C0"/>
        <rFont val="Arial"/>
        <family val="2"/>
      </rPr>
      <t>composite likelihood</t>
    </r>
    <r>
      <rPr>
        <sz val="13.25"/>
        <color rgb="FFFF0000"/>
        <rFont val="Arial"/>
        <family val="2"/>
      </rPr>
      <t xml:space="preserve"> column.</t>
    </r>
  </si>
  <si>
    <t>NIST SP 800-30</t>
  </si>
  <si>
    <t>NIST Guide to Conducting Risk Assessments</t>
  </si>
  <si>
    <t xml:space="preserve">https://nvlpubs.nist.gov/nistpubs/Legacy/SP/nistspecialpublication800-30r1.pdf </t>
  </si>
  <si>
    <t>overall 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</si>
</sst>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$-409]d\-mmm\-yyyy;@"/>
  </numFmts>
  <fonts count="2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48"/>
      <color theme="1"/>
      <name val="Arial"/>
      <family val="2"/>
    </font>
    <font>
      <sz val="48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Arial"/>
      <family val="2"/>
    </font>
    <font>
      <sz val="24"/>
      <color theme="1"/>
      <name val="Arial"/>
      <family val="2"/>
    </font>
    <font>
      <sz val="24"/>
      <color rgb="FFFF0000"/>
      <name val="Arial"/>
      <family val="2"/>
    </font>
    <font>
      <sz val="18"/>
      <color rgb="FF00B050"/>
      <name val="Arial"/>
      <family val="2"/>
    </font>
    <font>
      <b/>
      <sz val="18"/>
      <color rgb="FFC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40"/>
      <color rgb="FFFF0000"/>
      <name val="Arial"/>
      <family val="2"/>
    </font>
    <font>
      <sz val="12"/>
      <color rgb="FF0070C0"/>
      <name val="Aptos Narrow"/>
      <family val="2"/>
      <scheme val="minor"/>
    </font>
    <font>
      <sz val="13.25"/>
      <color rgb="FFFF0000"/>
      <name val="Arial"/>
      <family val="2"/>
    </font>
    <font>
      <sz val="13.25"/>
      <color rgb="FF0070C0"/>
      <name val="Arial"/>
      <family val="2"/>
    </font>
    <font>
      <sz val="24"/>
      <name val="Arial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6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7" fillId="3" borderId="1" xfId="0" applyFont="1" applyFill="1" applyBorder="1"/>
    <xf numFmtId="164" fontId="8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/>
    </xf>
    <xf numFmtId="164" fontId="4" fillId="0" borderId="1" xfId="0" applyNumberFormat="1" applyFont="1" applyBorder="1"/>
    <xf numFmtId="0" fontId="4" fillId="0" borderId="1" xfId="0" applyFont="1" applyBorder="1"/>
    <xf numFmtId="0" fontId="9" fillId="0" borderId="2" xfId="0" applyFont="1" applyBorder="1"/>
    <xf numFmtId="164" fontId="4" fillId="0" borderId="2" xfId="0" applyNumberFormat="1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0" borderId="1" xfId="0" applyFont="1" applyBorder="1" applyAlignment="1">
      <alignment vertical="top" wrapText="1"/>
    </xf>
    <xf numFmtId="0" fontId="9" fillId="0" borderId="1" xfId="0" applyFont="1" applyBorder="1"/>
    <xf numFmtId="49" fontId="8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49" fontId="4" fillId="0" borderId="1" xfId="0" applyNumberFormat="1" applyFont="1" applyBorder="1"/>
    <xf numFmtId="49" fontId="4" fillId="0" borderId="2" xfId="0" applyNumberFormat="1" applyFont="1" applyBorder="1" applyAlignment="1">
      <alignment vertical="top"/>
    </xf>
    <xf numFmtId="0" fontId="10" fillId="0" borderId="0" xfId="0" applyFont="1" applyAlignment="1">
      <alignment horizontal="right"/>
    </xf>
    <xf numFmtId="0" fontId="10" fillId="0" borderId="0" xfId="0" applyFont="1"/>
    <xf numFmtId="1" fontId="11" fillId="0" borderId="0" xfId="0" applyNumberFormat="1" applyFont="1" applyAlignment="1">
      <alignment horizontal="left"/>
    </xf>
    <xf numFmtId="0" fontId="6" fillId="2" borderId="1" xfId="0" applyFont="1" applyFill="1" applyBorder="1" applyAlignment="1">
      <alignment horizontal="right"/>
    </xf>
    <xf numFmtId="49" fontId="6" fillId="2" borderId="1" xfId="0" applyNumberFormat="1" applyFont="1" applyFill="1" applyBorder="1"/>
    <xf numFmtId="49" fontId="7" fillId="3" borderId="1" xfId="0" applyNumberFormat="1" applyFont="1" applyFill="1" applyBorder="1"/>
    <xf numFmtId="1" fontId="4" fillId="0" borderId="1" xfId="0" applyNumberFormat="1" applyFont="1" applyBorder="1" applyAlignment="1">
      <alignment horizontal="right"/>
    </xf>
    <xf numFmtId="49" fontId="9" fillId="0" borderId="2" xfId="0" applyNumberFormat="1" applyFont="1" applyBorder="1"/>
    <xf numFmtId="49" fontId="6" fillId="2" borderId="1" xfId="0" applyNumberFormat="1" applyFont="1" applyFill="1" applyBorder="1" applyAlignment="1">
      <alignment horizontal="left"/>
    </xf>
    <xf numFmtId="49" fontId="8" fillId="0" borderId="1" xfId="0" applyNumberFormat="1" applyFont="1" applyBorder="1"/>
    <xf numFmtId="49" fontId="4" fillId="0" borderId="1" xfId="0" applyNumberFormat="1" applyFont="1" applyBorder="1" applyAlignment="1">
      <alignment horizontal="left"/>
    </xf>
    <xf numFmtId="0" fontId="7" fillId="3" borderId="1" xfId="0" applyFont="1" applyFill="1" applyBorder="1" applyAlignment="1">
      <alignment horizontal="center" wrapText="1"/>
    </xf>
    <xf numFmtId="0" fontId="14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 wrapText="1"/>
    </xf>
    <xf numFmtId="0" fontId="6" fillId="0" borderId="0" xfId="0" applyFont="1"/>
    <xf numFmtId="49" fontId="9" fillId="0" borderId="1" xfId="0" applyNumberFormat="1" applyFont="1" applyBorder="1" applyAlignment="1">
      <alignment vertical="top"/>
    </xf>
    <xf numFmtId="0" fontId="15" fillId="0" borderId="1" xfId="0" applyFont="1" applyBorder="1"/>
    <xf numFmtId="0" fontId="16" fillId="0" borderId="0" xfId="0" applyFont="1" applyAlignment="1">
      <alignment textRotation="45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17" fillId="0" borderId="1" xfId="0" applyFont="1" applyBorder="1"/>
    <xf numFmtId="0" fontId="1" fillId="0" borderId="1" xfId="0" applyFont="1" applyBorder="1"/>
    <xf numFmtId="164" fontId="8" fillId="0" borderId="1" xfId="0" applyNumberFormat="1" applyFont="1" applyBorder="1"/>
    <xf numFmtId="0" fontId="8" fillId="0" borderId="2" xfId="0" applyFont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49" fontId="15" fillId="0" borderId="1" xfId="0" applyNumberFormat="1" applyFont="1" applyBorder="1" applyAlignment="1">
      <alignment horizontal="left"/>
    </xf>
    <xf numFmtId="49" fontId="15" fillId="0" borderId="1" xfId="0" applyNumberFormat="1" applyFont="1" applyBorder="1"/>
    <xf numFmtId="0" fontId="15" fillId="0" borderId="2" xfId="0" applyFont="1" applyBorder="1"/>
    <xf numFmtId="0" fontId="21" fillId="0" borderId="1" xfId="1" applyBorder="1" applyAlignment="1">
      <alignment horizontal="left" vertical="center" readingOrder="1"/>
    </xf>
    <xf numFmtId="0" fontId="2" fillId="0" borderId="0" xfId="0" applyFont="1" applyAlignment="1">
      <alignment horizontal="center"/>
    </xf>
    <xf numFmtId="0" fontId="11" fillId="0" borderId="0" xfId="0" applyFont="1"/>
    <xf numFmtId="0" fontId="20" fillId="0" borderId="0" xfId="0" applyFont="1"/>
    <xf numFmtId="165" fontId="11" fillId="0" borderId="0" xfId="0" applyNumberFormat="1" applyFont="1" applyAlignment="1">
      <alignment horizontal="left"/>
    </xf>
    <xf numFmtId="0" fontId="1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18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harles.wilson/Documents/projects/AVCDL/source/reference_documents/templates/AVCDL%20threat%20candidate%20ranking%20template.xlsx" TargetMode="External"/><Relationship Id="rId1" Type="http://schemas.openxmlformats.org/officeDocument/2006/relationships/externalLinkPath" Target="AVCDL%20threat%20candidate%20ranking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sheet"/>
      <sheetName val="revision history"/>
      <sheetName val="references"/>
      <sheetName val="ranking"/>
      <sheetName val="rubric quantization"/>
      <sheetName val="domain quantization"/>
      <sheetName val="legend"/>
    </sheetNames>
    <sheetDataSet>
      <sheetData sheetId="0"/>
      <sheetData sheetId="1"/>
      <sheetData sheetId="2"/>
      <sheetData sheetId="3"/>
      <sheetData sheetId="4">
        <row r="5">
          <cell r="B5">
            <v>0</v>
          </cell>
        </row>
      </sheetData>
      <sheetData sheetId="5">
        <row r="5">
          <cell r="B5">
            <v>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nvlpubs.nist.gov/nistpubs/Legacy/SP/nistspecialpublication800-30r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050B-FD70-B942-A662-9D05131E72F7}">
  <dimension ref="B2:K12"/>
  <sheetViews>
    <sheetView tabSelected="1" zoomScaleNormal="100" workbookViewId="0">
      <selection activeCell="J26" sqref="J26"/>
    </sheetView>
  </sheetViews>
  <sheetFormatPr baseColWidth="10" defaultRowHeight="16" x14ac:dyDescent="0.2"/>
  <cols>
    <col min="2" max="2" width="35.5" customWidth="1"/>
    <col min="3" max="3" width="2.6640625" customWidth="1"/>
  </cols>
  <sheetData>
    <row r="2" spans="2:11" ht="59" x14ac:dyDescent="0.55000000000000004">
      <c r="B2" s="59" t="s">
        <v>14</v>
      </c>
      <c r="C2" s="59"/>
      <c r="D2" s="59"/>
      <c r="E2" s="59"/>
      <c r="F2" s="59"/>
      <c r="G2" s="59"/>
      <c r="H2" s="59"/>
      <c r="I2" s="59"/>
      <c r="J2" s="59"/>
      <c r="K2" s="59"/>
    </row>
    <row r="3" spans="2:11" x14ac:dyDescent="0.2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30" x14ac:dyDescent="0.3">
      <c r="B4" s="27" t="s">
        <v>15</v>
      </c>
      <c r="C4" s="28"/>
      <c r="D4" s="60" t="s">
        <v>15</v>
      </c>
      <c r="E4" s="60"/>
      <c r="F4" s="60"/>
      <c r="G4" s="60"/>
      <c r="H4" s="60"/>
      <c r="I4" s="60"/>
      <c r="J4" s="60"/>
      <c r="K4" s="2"/>
    </row>
    <row r="5" spans="2:11" x14ac:dyDescent="0.2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30" x14ac:dyDescent="0.3">
      <c r="B6" s="27" t="s">
        <v>16</v>
      </c>
      <c r="C6" s="28"/>
      <c r="D6" s="61" t="s">
        <v>38</v>
      </c>
      <c r="E6" s="61"/>
      <c r="F6" s="61"/>
      <c r="G6" s="61"/>
      <c r="H6" s="61"/>
      <c r="I6" s="61"/>
      <c r="J6" s="61"/>
      <c r="K6" s="2"/>
    </row>
    <row r="7" spans="2:11" x14ac:dyDescent="0.2">
      <c r="B7" s="2"/>
      <c r="C7" s="2"/>
      <c r="D7" s="2"/>
      <c r="E7" s="2"/>
      <c r="F7" s="2"/>
      <c r="G7" s="2"/>
      <c r="H7" s="2"/>
      <c r="I7" s="2"/>
      <c r="J7" s="2"/>
      <c r="K7" s="2"/>
    </row>
    <row r="8" spans="2:11" ht="30" x14ac:dyDescent="0.3">
      <c r="B8" s="27" t="s">
        <v>17</v>
      </c>
      <c r="C8" s="28"/>
      <c r="D8" s="62">
        <v>36765</v>
      </c>
      <c r="E8" s="62"/>
      <c r="F8" s="62"/>
      <c r="G8" s="62"/>
      <c r="H8" s="62"/>
      <c r="I8" s="62"/>
      <c r="J8" s="62"/>
      <c r="K8" s="2"/>
    </row>
    <row r="9" spans="2:11" x14ac:dyDescent="0.2">
      <c r="B9" s="2"/>
      <c r="C9" s="2"/>
      <c r="D9" s="2"/>
      <c r="E9" s="2"/>
      <c r="F9" s="2"/>
      <c r="G9" s="2"/>
      <c r="H9" s="2"/>
      <c r="I9" s="2"/>
      <c r="J9" s="2"/>
      <c r="K9" s="2"/>
    </row>
    <row r="10" spans="2:11" ht="30" x14ac:dyDescent="0.3">
      <c r="B10" s="27" t="s">
        <v>18</v>
      </c>
      <c r="C10" s="28"/>
      <c r="D10" s="29">
        <v>1</v>
      </c>
      <c r="E10" s="2"/>
      <c r="F10" s="2"/>
      <c r="G10" s="2"/>
      <c r="H10" s="2"/>
      <c r="I10" s="2"/>
      <c r="J10" s="2"/>
      <c r="K10" s="2"/>
    </row>
    <row r="11" spans="2:11" ht="134" customHeight="1" x14ac:dyDescent="0.3">
      <c r="B11" s="28"/>
      <c r="C11" s="28"/>
      <c r="D11" s="28"/>
      <c r="E11" s="2"/>
      <c r="F11" s="2"/>
      <c r="G11" s="2"/>
      <c r="H11" s="2"/>
      <c r="I11" s="2"/>
      <c r="J11" s="2"/>
      <c r="K11" s="2"/>
    </row>
    <row r="12" spans="2:11" ht="23" x14ac:dyDescent="0.2">
      <c r="B12" s="63" t="s">
        <v>19</v>
      </c>
      <c r="C12" s="63"/>
      <c r="D12" s="63"/>
      <c r="E12" s="63"/>
      <c r="F12" s="63"/>
      <c r="G12" s="63"/>
      <c r="H12" s="63"/>
      <c r="I12" s="63"/>
      <c r="J12" s="63"/>
      <c r="K12" s="63"/>
    </row>
  </sheetData>
  <mergeCells count="5">
    <mergeCell ref="B2:K2"/>
    <mergeCell ref="D4:J4"/>
    <mergeCell ref="D6:J6"/>
    <mergeCell ref="D8:J8"/>
    <mergeCell ref="B12:K12"/>
  </mergeCells>
  <dataValidations count="1">
    <dataValidation type="custom" allowBlank="1" showInputMessage="1" showErrorMessage="1" errorTitle="Invalid Revision Number" error="The revision number must be an integer greater than or equal to 1." sqref="D10" xr:uid="{56E00EA2-9E25-CB4B-BCFA-9455A2A0A57F}">
      <formula1>OR(AND(D10&gt;=1,D10&lt;=65535),D10="NO")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B203-2DF1-E443-A073-0A28A1893634}">
  <dimension ref="A2:G20"/>
  <sheetViews>
    <sheetView zoomScaleNormal="100" workbookViewId="0">
      <selection activeCell="D34" sqref="D34:D35"/>
    </sheetView>
  </sheetViews>
  <sheetFormatPr baseColWidth="10" defaultRowHeight="16" x14ac:dyDescent="0.2"/>
  <cols>
    <col min="2" max="2" width="9.5" bestFit="1" customWidth="1"/>
    <col min="3" max="3" width="27" customWidth="1"/>
    <col min="4" max="4" width="77" customWidth="1"/>
  </cols>
  <sheetData>
    <row r="2" spans="1:7" ht="63" x14ac:dyDescent="0.75">
      <c r="B2" s="64" t="s">
        <v>20</v>
      </c>
      <c r="C2" s="64"/>
      <c r="D2" s="64"/>
      <c r="E2" s="1"/>
      <c r="F2" s="1"/>
      <c r="G2" s="1"/>
    </row>
    <row r="3" spans="1:7" x14ac:dyDescent="0.2">
      <c r="B3" s="2"/>
      <c r="C3" s="2"/>
      <c r="D3" s="2"/>
    </row>
    <row r="4" spans="1:7" x14ac:dyDescent="0.2">
      <c r="A4" s="3"/>
      <c r="B4" s="30" t="s">
        <v>18</v>
      </c>
      <c r="C4" s="31" t="s">
        <v>21</v>
      </c>
      <c r="D4" s="32" t="s">
        <v>22</v>
      </c>
    </row>
    <row r="5" spans="1:7" x14ac:dyDescent="0.2">
      <c r="B5" s="33">
        <v>1</v>
      </c>
      <c r="C5" s="25"/>
      <c r="D5" s="34" t="s">
        <v>23</v>
      </c>
    </row>
    <row r="6" spans="1:7" x14ac:dyDescent="0.2">
      <c r="B6" s="33"/>
      <c r="C6" s="25"/>
      <c r="D6" s="34"/>
    </row>
    <row r="7" spans="1:7" x14ac:dyDescent="0.2">
      <c r="B7" s="33"/>
      <c r="C7" s="25"/>
      <c r="D7" s="34"/>
    </row>
    <row r="8" spans="1:7" x14ac:dyDescent="0.2">
      <c r="B8" s="33"/>
      <c r="C8" s="25"/>
      <c r="D8" s="34"/>
    </row>
    <row r="9" spans="1:7" x14ac:dyDescent="0.2">
      <c r="B9" s="33"/>
      <c r="C9" s="25"/>
      <c r="D9" s="34"/>
    </row>
    <row r="10" spans="1:7" x14ac:dyDescent="0.2">
      <c r="B10" s="33"/>
      <c r="C10" s="25"/>
      <c r="D10" s="34"/>
    </row>
    <row r="11" spans="1:7" x14ac:dyDescent="0.2">
      <c r="B11" s="33"/>
      <c r="C11" s="25"/>
      <c r="D11" s="34"/>
    </row>
    <row r="12" spans="1:7" x14ac:dyDescent="0.2">
      <c r="B12" s="33"/>
      <c r="C12" s="25"/>
      <c r="D12" s="34"/>
    </row>
    <row r="13" spans="1:7" x14ac:dyDescent="0.2">
      <c r="B13" s="33"/>
      <c r="C13" s="25"/>
      <c r="D13" s="34"/>
    </row>
    <row r="14" spans="1:7" x14ac:dyDescent="0.2">
      <c r="B14" s="33"/>
      <c r="C14" s="25"/>
      <c r="D14" s="34"/>
    </row>
    <row r="15" spans="1:7" x14ac:dyDescent="0.2">
      <c r="B15" s="33"/>
      <c r="C15" s="25"/>
      <c r="D15" s="34"/>
    </row>
    <row r="16" spans="1:7" x14ac:dyDescent="0.2">
      <c r="B16" s="33"/>
      <c r="C16" s="25"/>
      <c r="D16" s="34"/>
    </row>
    <row r="17" spans="2:4" x14ac:dyDescent="0.2">
      <c r="B17" s="33"/>
      <c r="C17" s="25"/>
      <c r="D17" s="34"/>
    </row>
    <row r="18" spans="2:4" x14ac:dyDescent="0.2">
      <c r="B18" s="33"/>
      <c r="C18" s="25"/>
      <c r="D18" s="34"/>
    </row>
    <row r="19" spans="2:4" x14ac:dyDescent="0.2">
      <c r="B19" s="33"/>
      <c r="C19" s="25"/>
      <c r="D19" s="34"/>
    </row>
    <row r="20" spans="2:4" x14ac:dyDescent="0.2">
      <c r="B20" s="33"/>
      <c r="C20" s="25"/>
      <c r="D20" s="34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6FD5-D8B1-EC4F-BDAE-10E2248F27CD}">
  <dimension ref="A2:G20"/>
  <sheetViews>
    <sheetView zoomScaleNormal="100" workbookViewId="0">
      <selection activeCell="H11" sqref="H11"/>
    </sheetView>
  </sheetViews>
  <sheetFormatPr baseColWidth="10" defaultRowHeight="16" x14ac:dyDescent="0.2"/>
  <cols>
    <col min="2" max="2" width="15.83203125" bestFit="1" customWidth="1"/>
    <col min="3" max="3" width="42.83203125" bestFit="1" customWidth="1"/>
    <col min="4" max="4" width="67.33203125" bestFit="1" customWidth="1"/>
  </cols>
  <sheetData>
    <row r="2" spans="1:7" ht="63" x14ac:dyDescent="0.75">
      <c r="B2" s="64" t="s">
        <v>24</v>
      </c>
      <c r="C2" s="64"/>
      <c r="D2" s="64"/>
      <c r="E2" s="1"/>
      <c r="F2" s="1"/>
      <c r="G2" s="1"/>
    </row>
    <row r="3" spans="1:7" x14ac:dyDescent="0.2">
      <c r="B3" s="2"/>
      <c r="C3" s="2"/>
      <c r="D3" s="2"/>
    </row>
    <row r="4" spans="1:7" x14ac:dyDescent="0.2">
      <c r="A4" s="3"/>
      <c r="B4" s="35" t="s">
        <v>25</v>
      </c>
      <c r="C4" s="31" t="s">
        <v>22</v>
      </c>
      <c r="D4" s="5" t="s">
        <v>26</v>
      </c>
    </row>
    <row r="5" spans="1:7" x14ac:dyDescent="0.2">
      <c r="B5" s="55" t="s">
        <v>38</v>
      </c>
      <c r="C5" s="56" t="s">
        <v>39</v>
      </c>
      <c r="D5" s="58" t="s">
        <v>40</v>
      </c>
    </row>
    <row r="6" spans="1:7" x14ac:dyDescent="0.2">
      <c r="B6" s="55"/>
      <c r="C6" s="56"/>
      <c r="D6" s="57"/>
    </row>
    <row r="7" spans="1:7" x14ac:dyDescent="0.2">
      <c r="B7" s="37"/>
      <c r="C7" s="25"/>
      <c r="D7" s="13"/>
    </row>
    <row r="8" spans="1:7" x14ac:dyDescent="0.2">
      <c r="B8" s="37"/>
      <c r="C8" s="25"/>
      <c r="D8" s="13"/>
    </row>
    <row r="9" spans="1:7" x14ac:dyDescent="0.2">
      <c r="B9" s="37"/>
      <c r="C9" s="25"/>
      <c r="D9" s="13"/>
    </row>
    <row r="10" spans="1:7" x14ac:dyDescent="0.2">
      <c r="B10" s="37"/>
      <c r="C10" s="25"/>
      <c r="D10" s="13"/>
    </row>
    <row r="11" spans="1:7" x14ac:dyDescent="0.2">
      <c r="B11" s="37"/>
      <c r="C11" s="25"/>
      <c r="D11" s="13"/>
    </row>
    <row r="12" spans="1:7" x14ac:dyDescent="0.2">
      <c r="B12" s="37"/>
      <c r="C12" s="25"/>
      <c r="D12" s="13"/>
    </row>
    <row r="13" spans="1:7" x14ac:dyDescent="0.2">
      <c r="B13" s="37"/>
      <c r="C13" s="25"/>
      <c r="D13" s="13"/>
    </row>
    <row r="14" spans="1:7" x14ac:dyDescent="0.2">
      <c r="B14" s="37"/>
      <c r="C14" s="25"/>
      <c r="D14" s="13"/>
    </row>
    <row r="15" spans="1:7" x14ac:dyDescent="0.2">
      <c r="B15" s="37"/>
      <c r="C15" s="25"/>
      <c r="D15" s="13"/>
    </row>
    <row r="16" spans="1:7" x14ac:dyDescent="0.2">
      <c r="B16" s="37"/>
      <c r="C16" s="25"/>
      <c r="D16" s="13"/>
    </row>
    <row r="17" spans="2:4" x14ac:dyDescent="0.2">
      <c r="B17" s="37"/>
      <c r="C17" s="25"/>
      <c r="D17" s="13"/>
    </row>
    <row r="18" spans="2:4" x14ac:dyDescent="0.2">
      <c r="B18" s="37"/>
      <c r="C18" s="25"/>
      <c r="D18" s="13"/>
    </row>
    <row r="19" spans="2:4" x14ac:dyDescent="0.2">
      <c r="B19" s="37"/>
      <c r="C19" s="25"/>
      <c r="D19" s="13"/>
    </row>
    <row r="20" spans="2:4" x14ac:dyDescent="0.2">
      <c r="B20" s="37"/>
      <c r="C20" s="25"/>
      <c r="D20" s="13"/>
    </row>
  </sheetData>
  <mergeCells count="1">
    <mergeCell ref="B2:D2"/>
  </mergeCells>
  <hyperlinks>
    <hyperlink ref="D5" r:id="rId1" display="https://nvlpubs.nist.gov/nistpubs/Legacy/SP/nistspecialpublication800-30r1.pdf" xr:uid="{FFD57B1D-BB6B-AA4C-BD34-8F18BC0C4C8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CFCB-1E74-F849-8645-701B9B545C9B}">
  <dimension ref="A2:M43"/>
  <sheetViews>
    <sheetView zoomScaleNormal="100" workbookViewId="0">
      <pane ySplit="4" topLeftCell="A5" activePane="bottomLeft" state="frozen"/>
      <selection pane="bottomLeft" activeCell="M22" sqref="M22"/>
    </sheetView>
  </sheetViews>
  <sheetFormatPr baseColWidth="10" defaultRowHeight="16" x14ac:dyDescent="0.2"/>
  <cols>
    <col min="2" max="2" width="12.33203125" customWidth="1"/>
    <col min="3" max="3" width="14" customWidth="1"/>
    <col min="4" max="4" width="13.5" customWidth="1"/>
    <col min="5" max="5" width="18.33203125" customWidth="1"/>
    <col min="6" max="6" width="10.83203125" customWidth="1"/>
    <col min="7" max="7" width="12.6640625" customWidth="1"/>
    <col min="8" max="8" width="9" bestFit="1" customWidth="1"/>
    <col min="9" max="9" width="11.1640625" bestFit="1" customWidth="1"/>
    <col min="10" max="10" width="14.1640625" customWidth="1"/>
  </cols>
  <sheetData>
    <row r="2" spans="1:13" ht="63" x14ac:dyDescent="0.75">
      <c r="B2" s="64" t="s">
        <v>27</v>
      </c>
      <c r="C2" s="64"/>
      <c r="D2" s="64"/>
      <c r="E2" s="64"/>
      <c r="F2" s="64"/>
      <c r="G2" s="64"/>
      <c r="H2" s="64"/>
      <c r="I2" s="64"/>
      <c r="J2" s="64"/>
      <c r="K2" s="1"/>
      <c r="L2" s="1"/>
      <c r="M2" s="1"/>
    </row>
    <row r="3" spans="1:13" x14ac:dyDescent="0.2">
      <c r="B3" s="2"/>
      <c r="C3" s="2"/>
      <c r="D3" s="2"/>
      <c r="E3" s="2"/>
      <c r="F3" s="2"/>
      <c r="G3" s="2"/>
      <c r="H3" s="2"/>
      <c r="I3" s="2"/>
      <c r="J3" s="2"/>
    </row>
    <row r="4" spans="1:13" ht="34" x14ac:dyDescent="0.2">
      <c r="A4" s="3"/>
      <c r="B4" s="4" t="s">
        <v>28</v>
      </c>
      <c r="C4" s="4" t="s">
        <v>2</v>
      </c>
      <c r="D4" s="4" t="s">
        <v>29</v>
      </c>
      <c r="E4" s="18" t="s">
        <v>30</v>
      </c>
      <c r="F4" s="54" t="s">
        <v>31</v>
      </c>
      <c r="G4" s="38" t="s">
        <v>34</v>
      </c>
      <c r="H4" s="39" t="s">
        <v>35</v>
      </c>
      <c r="I4" s="39" t="s">
        <v>41</v>
      </c>
      <c r="J4" s="5" t="s">
        <v>3</v>
      </c>
    </row>
    <row r="5" spans="1:13" ht="17" x14ac:dyDescent="0.2">
      <c r="B5" s="12"/>
      <c r="C5" s="12"/>
      <c r="D5" s="12"/>
      <c r="E5" s="17"/>
      <c r="F5" s="53" t="s">
        <v>36</v>
      </c>
      <c r="G5" s="20" t="s">
        <v>4</v>
      </c>
      <c r="H5" s="20" t="s">
        <v>4</v>
      </c>
      <c r="I5" s="50" t="str">
        <f>VLOOKUP(VLOOKUP(G5,[0]!RQ_comp_s:RQ_comp_e,2,FALSE) * VLOOKUP(H5,[0]!RQ_comp_s:RQ_comp_e,2,FALSE),[0]!RQ_start_800:RQ_end_800,2,TRUE)</f>
        <v>none</v>
      </c>
      <c r="J5" s="40"/>
    </row>
    <row r="6" spans="1:13" ht="17" x14ac:dyDescent="0.2">
      <c r="B6" s="12"/>
      <c r="C6" s="12"/>
      <c r="D6" s="12"/>
      <c r="E6" s="17"/>
      <c r="F6" s="53" t="s">
        <v>36</v>
      </c>
      <c r="G6" s="20" t="s">
        <v>4</v>
      </c>
      <c r="H6" s="20" t="s">
        <v>4</v>
      </c>
      <c r="I6" s="50" t="str">
        <f>VLOOKUP(VLOOKUP(G6,[0]!RQ_comp_s:RQ_comp_e,2,FALSE) * VLOOKUP(H6,[0]!RQ_comp_s:RQ_comp_e,2,FALSE),[0]!RQ_start_800:RQ_end_800,2,TRUE)</f>
        <v>none</v>
      </c>
      <c r="J6" s="40"/>
    </row>
    <row r="7" spans="1:13" ht="17" x14ac:dyDescent="0.2">
      <c r="B7" s="41"/>
      <c r="C7" s="41"/>
      <c r="D7" s="41"/>
      <c r="E7" s="42"/>
      <c r="F7" s="53" t="s">
        <v>36</v>
      </c>
      <c r="G7" s="20" t="s">
        <v>4</v>
      </c>
      <c r="H7" s="20" t="s">
        <v>4</v>
      </c>
      <c r="I7" s="50" t="str">
        <f>VLOOKUP(VLOOKUP(G7,[0]!RQ_comp_s:RQ_comp_e,2,FALSE) * VLOOKUP(H7,[0]!RQ_comp_s:RQ_comp_e,2,FALSE),[0]!RQ_start_800:RQ_end_800,2,TRUE)</f>
        <v>none</v>
      </c>
      <c r="J7" s="43"/>
    </row>
    <row r="8" spans="1:13" ht="17" x14ac:dyDescent="0.2">
      <c r="B8" s="41"/>
      <c r="C8" s="41"/>
      <c r="D8" s="41"/>
      <c r="E8" s="42"/>
      <c r="F8" s="53" t="s">
        <v>36</v>
      </c>
      <c r="G8" s="20" t="s">
        <v>4</v>
      </c>
      <c r="H8" s="20" t="s">
        <v>4</v>
      </c>
      <c r="I8" s="50" t="str">
        <f>VLOOKUP(VLOOKUP(G8,[0]!RQ_comp_s:RQ_comp_e,2,FALSE) * VLOOKUP(H8,[0]!RQ_comp_s:RQ_comp_e,2,FALSE),[0]!RQ_start_800:RQ_end_800,2,TRUE)</f>
        <v>none</v>
      </c>
      <c r="J8" s="43"/>
    </row>
    <row r="9" spans="1:13" ht="17" x14ac:dyDescent="0.2">
      <c r="B9" s="41"/>
      <c r="C9" s="41"/>
      <c r="D9" s="41"/>
      <c r="E9" s="42"/>
      <c r="F9" s="53" t="s">
        <v>36</v>
      </c>
      <c r="G9" s="20" t="s">
        <v>4</v>
      </c>
      <c r="H9" s="20" t="s">
        <v>4</v>
      </c>
      <c r="I9" s="50" t="str">
        <f>VLOOKUP(VLOOKUP(G9,[0]!RQ_comp_s:RQ_comp_e,2,FALSE) * VLOOKUP(H9,[0]!RQ_comp_s:RQ_comp_e,2,FALSE),[0]!RQ_start_800:RQ_end_800,2,TRUE)</f>
        <v>none</v>
      </c>
      <c r="J9" s="43"/>
    </row>
    <row r="10" spans="1:13" ht="17" x14ac:dyDescent="0.2">
      <c r="B10" s="41"/>
      <c r="C10" s="41"/>
      <c r="D10" s="41"/>
      <c r="E10" s="42"/>
      <c r="F10" s="53" t="s">
        <v>36</v>
      </c>
      <c r="G10" s="20" t="s">
        <v>4</v>
      </c>
      <c r="H10" s="20" t="s">
        <v>4</v>
      </c>
      <c r="I10" s="50" t="str">
        <f>VLOOKUP(VLOOKUP(G10,[0]!RQ_comp_s:RQ_comp_e,2,FALSE) * VLOOKUP(H10,[0]!RQ_comp_s:RQ_comp_e,2,FALSE),[0]!RQ_start_800:RQ_end_800,2,TRUE)</f>
        <v>none</v>
      </c>
      <c r="J10" s="43"/>
    </row>
    <row r="11" spans="1:13" ht="17" x14ac:dyDescent="0.2">
      <c r="B11" s="41"/>
      <c r="C11" s="41"/>
      <c r="D11" s="41"/>
      <c r="E11" s="42"/>
      <c r="F11" s="53" t="s">
        <v>36</v>
      </c>
      <c r="G11" s="20" t="s">
        <v>4</v>
      </c>
      <c r="H11" s="20" t="s">
        <v>4</v>
      </c>
      <c r="I11" s="50" t="str">
        <f>VLOOKUP(VLOOKUP(G11,[0]!RQ_comp_s:RQ_comp_e,2,FALSE) * VLOOKUP(H11,[0]!RQ_comp_s:RQ_comp_e,2,FALSE),[0]!RQ_start_800:RQ_end_800,2,TRUE)</f>
        <v>none</v>
      </c>
      <c r="J11" s="43"/>
    </row>
    <row r="12" spans="1:13" ht="17" x14ac:dyDescent="0.2">
      <c r="B12" s="41"/>
      <c r="C12" s="41"/>
      <c r="D12" s="41"/>
      <c r="E12" s="42"/>
      <c r="F12" s="53" t="s">
        <v>36</v>
      </c>
      <c r="G12" s="20" t="s">
        <v>4</v>
      </c>
      <c r="H12" s="20" t="s">
        <v>4</v>
      </c>
      <c r="I12" s="50" t="str">
        <f>VLOOKUP(VLOOKUP(G12,[0]!RQ_comp_s:RQ_comp_e,2,FALSE) * VLOOKUP(H12,[0]!RQ_comp_s:RQ_comp_e,2,FALSE),[0]!RQ_start_800:RQ_end_800,2,TRUE)</f>
        <v>none</v>
      </c>
      <c r="J12" s="43"/>
    </row>
    <row r="13" spans="1:13" ht="17" x14ac:dyDescent="0.2">
      <c r="B13" s="41"/>
      <c r="C13" s="41"/>
      <c r="D13" s="41"/>
      <c r="E13" s="42"/>
      <c r="F13" s="53" t="s">
        <v>36</v>
      </c>
      <c r="G13" s="20" t="s">
        <v>4</v>
      </c>
      <c r="H13" s="20" t="s">
        <v>4</v>
      </c>
      <c r="I13" s="50" t="str">
        <f>VLOOKUP(VLOOKUP(G13,[0]!RQ_comp_s:RQ_comp_e,2,FALSE) * VLOOKUP(H13,[0]!RQ_comp_s:RQ_comp_e,2,FALSE),[0]!RQ_start_800:RQ_end_800,2,TRUE)</f>
        <v>none</v>
      </c>
      <c r="J13" s="43"/>
    </row>
    <row r="14" spans="1:13" ht="17" x14ac:dyDescent="0.2">
      <c r="B14" s="41"/>
      <c r="C14" s="41"/>
      <c r="D14" s="41"/>
      <c r="E14" s="42"/>
      <c r="F14" s="53" t="s">
        <v>36</v>
      </c>
      <c r="G14" s="20" t="s">
        <v>4</v>
      </c>
      <c r="H14" s="20" t="s">
        <v>4</v>
      </c>
      <c r="I14" s="50" t="str">
        <f>VLOOKUP(VLOOKUP(G14,[0]!RQ_comp_s:RQ_comp_e,2,FALSE) * VLOOKUP(H14,[0]!RQ_comp_s:RQ_comp_e,2,FALSE),[0]!RQ_start_800:RQ_end_800,2,TRUE)</f>
        <v>none</v>
      </c>
      <c r="J14" s="43"/>
    </row>
    <row r="15" spans="1:13" ht="17" x14ac:dyDescent="0.2">
      <c r="B15" s="41"/>
      <c r="C15" s="41"/>
      <c r="D15" s="41"/>
      <c r="E15" s="42"/>
      <c r="F15" s="53" t="s">
        <v>36</v>
      </c>
      <c r="G15" s="20" t="s">
        <v>4</v>
      </c>
      <c r="H15" s="20" t="s">
        <v>4</v>
      </c>
      <c r="I15" s="50" t="str">
        <f>VLOOKUP(VLOOKUP(G15,[0]!RQ_comp_s:RQ_comp_e,2,FALSE) * VLOOKUP(H15,[0]!RQ_comp_s:RQ_comp_e,2,FALSE),[0]!RQ_start_800:RQ_end_800,2,TRUE)</f>
        <v>none</v>
      </c>
      <c r="J15" s="43"/>
    </row>
    <row r="16" spans="1:13" ht="17" x14ac:dyDescent="0.2">
      <c r="B16" s="41"/>
      <c r="C16" s="41"/>
      <c r="D16" s="41"/>
      <c r="E16" s="42"/>
      <c r="F16" s="53" t="s">
        <v>36</v>
      </c>
      <c r="G16" s="20" t="s">
        <v>4</v>
      </c>
      <c r="H16" s="20" t="s">
        <v>4</v>
      </c>
      <c r="I16" s="50" t="str">
        <f>VLOOKUP(VLOOKUP(G16,[0]!RQ_comp_s:RQ_comp_e,2,FALSE) * VLOOKUP(H16,[0]!RQ_comp_s:RQ_comp_e,2,FALSE),[0]!RQ_start_800:RQ_end_800,2,TRUE)</f>
        <v>none</v>
      </c>
      <c r="J16" s="43"/>
    </row>
    <row r="17" spans="2:10" ht="17" x14ac:dyDescent="0.2">
      <c r="B17" s="41"/>
      <c r="C17" s="41"/>
      <c r="D17" s="41"/>
      <c r="E17" s="42"/>
      <c r="F17" s="53" t="s">
        <v>36</v>
      </c>
      <c r="G17" s="20" t="s">
        <v>4</v>
      </c>
      <c r="H17" s="20" t="s">
        <v>4</v>
      </c>
      <c r="I17" s="50" t="str">
        <f>VLOOKUP(VLOOKUP(G17,[0]!RQ_comp_s:RQ_comp_e,2,FALSE) * VLOOKUP(H17,[0]!RQ_comp_s:RQ_comp_e,2,FALSE),[0]!RQ_start_800:RQ_end_800,2,TRUE)</f>
        <v>none</v>
      </c>
      <c r="J17" s="43"/>
    </row>
    <row r="18" spans="2:10" ht="17" x14ac:dyDescent="0.2">
      <c r="B18" s="41"/>
      <c r="C18" s="41"/>
      <c r="D18" s="41"/>
      <c r="E18" s="42"/>
      <c r="F18" s="53" t="s">
        <v>36</v>
      </c>
      <c r="G18" s="20" t="s">
        <v>4</v>
      </c>
      <c r="H18" s="20" t="s">
        <v>4</v>
      </c>
      <c r="I18" s="50" t="str">
        <f>VLOOKUP(VLOOKUP(G18,[0]!RQ_comp_s:RQ_comp_e,2,FALSE) * VLOOKUP(H18,[0]!RQ_comp_s:RQ_comp_e,2,FALSE),[0]!RQ_start_800:RQ_end_800,2,TRUE)</f>
        <v>none</v>
      </c>
      <c r="J18" s="43"/>
    </row>
    <row r="19" spans="2:10" ht="17" x14ac:dyDescent="0.2">
      <c r="B19" s="41"/>
      <c r="C19" s="41"/>
      <c r="D19" s="41"/>
      <c r="E19" s="42"/>
      <c r="F19" s="53" t="s">
        <v>36</v>
      </c>
      <c r="G19" s="20" t="s">
        <v>4</v>
      </c>
      <c r="H19" s="20" t="s">
        <v>4</v>
      </c>
      <c r="I19" s="50" t="str">
        <f>VLOOKUP(VLOOKUP(G19,[0]!RQ_comp_s:RQ_comp_e,2,FALSE) * VLOOKUP(H19,[0]!RQ_comp_s:RQ_comp_e,2,FALSE),[0]!RQ_start_800:RQ_end_800,2,TRUE)</f>
        <v>none</v>
      </c>
      <c r="J19" s="43"/>
    </row>
    <row r="20" spans="2:10" ht="17" x14ac:dyDescent="0.2">
      <c r="B20" s="41"/>
      <c r="C20" s="41"/>
      <c r="D20" s="41"/>
      <c r="E20" s="42"/>
      <c r="F20" s="53" t="s">
        <v>36</v>
      </c>
      <c r="G20" s="20" t="s">
        <v>4</v>
      </c>
      <c r="H20" s="20" t="s">
        <v>4</v>
      </c>
      <c r="I20" s="50" t="str">
        <f>VLOOKUP(VLOOKUP(G20,[0]!RQ_comp_s:RQ_comp_e,2,FALSE) * VLOOKUP(H20,[0]!RQ_comp_s:RQ_comp_e,2,FALSE),[0]!RQ_start_800:RQ_end_800,2,TRUE)</f>
        <v>none</v>
      </c>
      <c r="J20" s="43"/>
    </row>
    <row r="21" spans="2:10" x14ac:dyDescent="0.2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2">
      <c r="B22" s="2"/>
      <c r="C22" s="2"/>
      <c r="D22" s="2"/>
      <c r="E22" s="2"/>
      <c r="F22" s="2"/>
      <c r="G22" s="2"/>
      <c r="H22" s="2"/>
      <c r="I22" s="2"/>
      <c r="J22" s="2"/>
    </row>
    <row r="23" spans="2:10" x14ac:dyDescent="0.2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2">
      <c r="B24" s="2"/>
      <c r="C24" s="2"/>
      <c r="D24" s="2"/>
      <c r="E24" s="2"/>
      <c r="F24" s="2"/>
      <c r="G24" s="2"/>
      <c r="H24" s="2"/>
      <c r="I24" s="2"/>
      <c r="J24" s="2"/>
    </row>
    <row r="25" spans="2:10" x14ac:dyDescent="0.2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2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2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2">
      <c r="B28" s="2"/>
      <c r="C28" s="2"/>
      <c r="D28" s="2"/>
      <c r="E28" s="2"/>
      <c r="F28" s="2"/>
      <c r="G28" s="2"/>
      <c r="H28" s="2"/>
      <c r="I28" s="2"/>
      <c r="J28" s="2"/>
    </row>
    <row r="29" spans="2:10" ht="17" x14ac:dyDescent="0.2">
      <c r="B29" s="65" t="s">
        <v>37</v>
      </c>
      <c r="C29" s="65"/>
      <c r="D29" s="65"/>
      <c r="E29" s="65"/>
      <c r="F29" s="65"/>
      <c r="G29" s="65"/>
      <c r="H29" s="65"/>
      <c r="I29" s="65"/>
      <c r="J29" s="65"/>
    </row>
    <row r="30" spans="2:10" x14ac:dyDescent="0.2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2">
      <c r="B31" s="2"/>
      <c r="C31" s="2"/>
      <c r="D31" s="2"/>
      <c r="E31" s="2"/>
      <c r="F31" s="2"/>
      <c r="G31" s="2"/>
      <c r="H31" s="2"/>
      <c r="I31" s="2"/>
      <c r="J31" s="2"/>
    </row>
    <row r="32" spans="2:10" x14ac:dyDescent="0.2">
      <c r="B32" s="2"/>
      <c r="C32" s="2"/>
      <c r="D32" s="2"/>
      <c r="E32" s="2"/>
      <c r="F32" s="2"/>
      <c r="G32" s="2"/>
      <c r="H32" s="2"/>
      <c r="I32" s="2"/>
      <c r="J32" s="2"/>
    </row>
    <row r="33" spans="2:10" x14ac:dyDescent="0.2">
      <c r="B33" s="2"/>
      <c r="C33" s="2"/>
      <c r="D33" s="2"/>
      <c r="E33" s="2"/>
      <c r="F33" s="2"/>
      <c r="G33" s="2"/>
      <c r="H33" s="2"/>
      <c r="I33" s="2"/>
      <c r="J33" s="2"/>
    </row>
    <row r="34" spans="2:10" x14ac:dyDescent="0.2">
      <c r="B34" s="2"/>
      <c r="C34" s="2"/>
      <c r="D34" s="2"/>
      <c r="E34" s="2"/>
      <c r="F34" s="2"/>
      <c r="G34" s="2"/>
      <c r="H34" s="2"/>
      <c r="I34" s="2"/>
      <c r="J34" s="2"/>
    </row>
    <row r="35" spans="2:10" x14ac:dyDescent="0.2">
      <c r="B35" s="2"/>
      <c r="C35" s="2"/>
      <c r="D35" s="2"/>
      <c r="E35" s="2"/>
      <c r="F35" s="2"/>
      <c r="G35" s="2"/>
      <c r="H35" s="2"/>
      <c r="I35" s="2"/>
      <c r="J35" s="2"/>
    </row>
    <row r="36" spans="2:10" x14ac:dyDescent="0.2">
      <c r="B36" s="2"/>
      <c r="C36" s="2"/>
      <c r="D36" s="2"/>
      <c r="E36" s="2"/>
      <c r="F36" s="2"/>
      <c r="G36" s="2"/>
      <c r="H36" s="2"/>
      <c r="I36" s="2"/>
      <c r="J36" s="2"/>
    </row>
    <row r="37" spans="2:10" x14ac:dyDescent="0.2">
      <c r="B37" s="2"/>
      <c r="C37" s="2"/>
      <c r="D37" s="2"/>
      <c r="E37" s="2"/>
      <c r="F37" s="2"/>
      <c r="G37" s="2"/>
      <c r="H37" s="2"/>
      <c r="I37" s="2"/>
      <c r="J37" s="2"/>
    </row>
    <row r="38" spans="2:10" x14ac:dyDescent="0.2">
      <c r="B38" s="2"/>
      <c r="C38" s="2"/>
      <c r="D38" s="2"/>
      <c r="E38" s="2"/>
      <c r="F38" s="2"/>
      <c r="G38" s="2"/>
      <c r="H38" s="2"/>
      <c r="I38" s="2"/>
      <c r="J38" s="2"/>
    </row>
    <row r="39" spans="2:10" x14ac:dyDescent="0.2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2">
      <c r="B40" s="2"/>
      <c r="C40" s="2"/>
      <c r="D40" s="2"/>
      <c r="E40" s="2"/>
      <c r="F40" s="2"/>
      <c r="G40" s="2"/>
      <c r="H40" s="2"/>
      <c r="I40" s="2"/>
      <c r="J40" s="2"/>
    </row>
    <row r="41" spans="2:10" x14ac:dyDescent="0.2">
      <c r="B41" s="2"/>
      <c r="C41" s="2"/>
      <c r="D41" s="2"/>
      <c r="E41" s="2"/>
      <c r="F41" s="2"/>
      <c r="G41" s="2"/>
      <c r="H41" s="2"/>
      <c r="I41" s="2"/>
      <c r="J41" s="2"/>
    </row>
    <row r="42" spans="2:10" x14ac:dyDescent="0.2">
      <c r="B42" s="2"/>
      <c r="C42" s="2"/>
      <c r="D42" s="2"/>
      <c r="E42" s="2"/>
      <c r="F42" s="2"/>
      <c r="G42" s="2"/>
      <c r="H42" s="2"/>
      <c r="I42" s="2"/>
      <c r="J42" s="2"/>
    </row>
    <row r="43" spans="2:10" x14ac:dyDescent="0.2">
      <c r="B43" s="2"/>
      <c r="C43" s="2"/>
      <c r="D43" s="2"/>
      <c r="E43" s="2"/>
      <c r="F43" s="2"/>
      <c r="G43" s="2"/>
      <c r="H43" s="2"/>
      <c r="I43" s="2"/>
      <c r="J43" s="2"/>
    </row>
  </sheetData>
  <dataConsolidate/>
  <mergeCells count="2">
    <mergeCell ref="B2:J2"/>
    <mergeCell ref="B29:J2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85EACC-25B6-7246-84A1-E3BCF6257F68}">
          <x14:formula1>
            <xm:f>'800-30 quantization'!$C$5:$C$20</xm:f>
          </x14:formula1>
          <xm:sqref>G5:H20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4D78-4D37-AB43-88FD-7CB3686B635F}">
  <dimension ref="A2:G24"/>
  <sheetViews>
    <sheetView workbookViewId="0">
      <selection activeCell="I22" sqref="I22"/>
    </sheetView>
  </sheetViews>
  <sheetFormatPr baseColWidth="10" defaultRowHeight="16" x14ac:dyDescent="0.2"/>
  <cols>
    <col min="2" max="2" width="10.33203125" bestFit="1" customWidth="1"/>
    <col min="3" max="3" width="9.83203125" bestFit="1" customWidth="1"/>
    <col min="4" max="4" width="13.1640625" customWidth="1"/>
    <col min="5" max="5" width="32.5" customWidth="1"/>
    <col min="6" max="6" width="39.83203125" customWidth="1"/>
  </cols>
  <sheetData>
    <row r="2" spans="1:7" ht="63" x14ac:dyDescent="0.75">
      <c r="B2" s="64" t="s">
        <v>13</v>
      </c>
      <c r="C2" s="64"/>
      <c r="D2" s="64"/>
      <c r="E2" s="64"/>
      <c r="F2" s="64"/>
      <c r="G2" s="1"/>
    </row>
    <row r="3" spans="1:7" x14ac:dyDescent="0.2">
      <c r="B3" s="2"/>
      <c r="C3" s="2"/>
      <c r="D3" s="2"/>
      <c r="E3" s="2"/>
      <c r="F3" s="2"/>
    </row>
    <row r="4" spans="1:7" ht="34" x14ac:dyDescent="0.2">
      <c r="A4" s="3"/>
      <c r="B4" s="4" t="s">
        <v>0</v>
      </c>
      <c r="C4" s="4" t="s">
        <v>1</v>
      </c>
      <c r="D4" s="19" t="s">
        <v>12</v>
      </c>
      <c r="E4" s="5" t="s">
        <v>2</v>
      </c>
      <c r="F4" s="5" t="s">
        <v>3</v>
      </c>
    </row>
    <row r="5" spans="1:7" ht="17" x14ac:dyDescent="0.2">
      <c r="B5" s="6">
        <v>0</v>
      </c>
      <c r="C5" s="23" t="s">
        <v>4</v>
      </c>
      <c r="D5" s="6">
        <v>0</v>
      </c>
      <c r="E5" s="7" t="s">
        <v>5</v>
      </c>
      <c r="F5" s="7" t="s">
        <v>6</v>
      </c>
    </row>
    <row r="6" spans="1:7" x14ac:dyDescent="0.2">
      <c r="B6" s="6">
        <v>1E-4</v>
      </c>
      <c r="C6" s="23" t="s">
        <v>7</v>
      </c>
      <c r="D6" s="51">
        <v>1</v>
      </c>
      <c r="E6" s="21"/>
      <c r="F6" s="9"/>
    </row>
    <row r="7" spans="1:7" x14ac:dyDescent="0.2">
      <c r="B7" s="6">
        <v>5</v>
      </c>
      <c r="C7" s="23" t="s">
        <v>8</v>
      </c>
      <c r="D7" s="51">
        <v>2.5</v>
      </c>
      <c r="E7" s="21"/>
      <c r="F7" s="9"/>
    </row>
    <row r="8" spans="1:7" x14ac:dyDescent="0.2">
      <c r="B8" s="6">
        <v>21</v>
      </c>
      <c r="C8" s="23" t="s">
        <v>11</v>
      </c>
      <c r="D8" s="51">
        <v>8</v>
      </c>
      <c r="E8" s="21"/>
      <c r="F8" s="9"/>
    </row>
    <row r="9" spans="1:7" x14ac:dyDescent="0.2">
      <c r="B9" s="6">
        <v>80</v>
      </c>
      <c r="C9" s="23" t="s">
        <v>9</v>
      </c>
      <c r="D9" s="51">
        <v>9.6</v>
      </c>
      <c r="E9" s="21"/>
      <c r="F9" s="9"/>
    </row>
    <row r="10" spans="1:7" x14ac:dyDescent="0.2">
      <c r="B10" s="52">
        <v>96</v>
      </c>
      <c r="C10" s="36" t="s">
        <v>10</v>
      </c>
      <c r="D10" s="51">
        <v>10</v>
      </c>
      <c r="E10" s="22"/>
      <c r="F10" s="12"/>
    </row>
    <row r="11" spans="1:7" x14ac:dyDescent="0.2">
      <c r="B11" s="11"/>
      <c r="C11" s="25"/>
      <c r="D11" s="12"/>
      <c r="E11" s="22"/>
      <c r="F11" s="12"/>
    </row>
    <row r="12" spans="1:7" x14ac:dyDescent="0.2">
      <c r="B12" s="11"/>
      <c r="C12" s="25"/>
      <c r="D12" s="17"/>
      <c r="E12" s="13"/>
      <c r="F12" s="12"/>
    </row>
    <row r="13" spans="1:7" x14ac:dyDescent="0.2">
      <c r="B13" s="11"/>
      <c r="C13" s="25"/>
      <c r="D13" s="12"/>
      <c r="E13" s="12"/>
      <c r="F13" s="12"/>
    </row>
    <row r="14" spans="1:7" x14ac:dyDescent="0.2">
      <c r="B14" s="11"/>
      <c r="C14" s="25"/>
      <c r="D14" s="12"/>
      <c r="E14" s="12"/>
      <c r="F14" s="12"/>
    </row>
    <row r="15" spans="1:7" x14ac:dyDescent="0.2">
      <c r="B15" s="11"/>
      <c r="C15" s="25"/>
      <c r="D15" s="12"/>
      <c r="E15" s="12"/>
      <c r="F15" s="12"/>
    </row>
    <row r="16" spans="1:7" x14ac:dyDescent="0.2">
      <c r="B16" s="11"/>
      <c r="C16" s="25"/>
      <c r="D16" s="12"/>
      <c r="E16" s="12"/>
      <c r="F16" s="12"/>
    </row>
    <row r="17" spans="2:6" x14ac:dyDescent="0.2">
      <c r="B17" s="11"/>
      <c r="C17" s="25"/>
      <c r="D17" s="12"/>
      <c r="E17" s="12"/>
      <c r="F17" s="12"/>
    </row>
    <row r="18" spans="2:6" x14ac:dyDescent="0.2">
      <c r="B18" s="14"/>
      <c r="C18" s="26"/>
      <c r="D18" s="15"/>
      <c r="E18" s="8"/>
      <c r="F18" s="16"/>
    </row>
    <row r="19" spans="2:6" x14ac:dyDescent="0.2">
      <c r="B19" s="10"/>
      <c r="C19" s="24"/>
      <c r="D19" s="15"/>
      <c r="E19" s="8"/>
      <c r="F19" s="9"/>
    </row>
    <row r="20" spans="2:6" x14ac:dyDescent="0.2">
      <c r="B20" s="10"/>
      <c r="C20" s="24"/>
      <c r="D20" s="15"/>
      <c r="E20" s="8"/>
      <c r="F20" s="9"/>
    </row>
    <row r="24" spans="2:6" ht="386" x14ac:dyDescent="0.2">
      <c r="B24" s="47" t="s">
        <v>32</v>
      </c>
    </row>
  </sheetData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F58F-F330-ED4C-B312-2D2D7DD832ED}">
  <dimension ref="A1:H29"/>
  <sheetViews>
    <sheetView topLeftCell="A11" zoomScaleNormal="100" workbookViewId="0">
      <selection activeCell="A25" sqref="A25"/>
    </sheetView>
  </sheetViews>
  <sheetFormatPr baseColWidth="10" defaultRowHeight="16" x14ac:dyDescent="0.2"/>
  <cols>
    <col min="1" max="1" width="19.33203125" style="2" customWidth="1"/>
    <col min="2" max="2" width="13.33203125" style="2" bestFit="1" customWidth="1"/>
    <col min="3" max="3" width="10.6640625" style="2" customWidth="1"/>
    <col min="4" max="4" width="14.1640625" style="2" bestFit="1" customWidth="1"/>
    <col min="5" max="5" width="13.1640625" style="2" bestFit="1" customWidth="1"/>
    <col min="6" max="6" width="16.5" style="2" bestFit="1" customWidth="1"/>
    <col min="7" max="7" width="15.1640625" style="2" bestFit="1" customWidth="1"/>
    <col min="8" max="8" width="10.6640625" style="2" bestFit="1" customWidth="1"/>
    <col min="9" max="16384" width="10.83203125" style="2"/>
  </cols>
  <sheetData>
    <row r="1" spans="1:3" s="44" customFormat="1" x14ac:dyDescent="0.2">
      <c r="A1" s="18"/>
      <c r="B1" s="5"/>
      <c r="C1" s="5"/>
    </row>
    <row r="2" spans="1:3" x14ac:dyDescent="0.2">
      <c r="A2" s="24"/>
      <c r="B2" s="45"/>
      <c r="C2" s="45"/>
    </row>
    <row r="3" spans="1:3" x14ac:dyDescent="0.2">
      <c r="A3" s="24"/>
      <c r="B3" s="12"/>
      <c r="C3" s="45"/>
    </row>
    <row r="4" spans="1:3" x14ac:dyDescent="0.2">
      <c r="A4" s="46"/>
      <c r="B4" s="45"/>
      <c r="C4" s="46"/>
    </row>
    <row r="5" spans="1:3" x14ac:dyDescent="0.2">
      <c r="A5" s="46"/>
      <c r="B5" s="46"/>
      <c r="C5" s="46"/>
    </row>
    <row r="6" spans="1:3" x14ac:dyDescent="0.2">
      <c r="A6" s="46"/>
      <c r="B6" s="46"/>
      <c r="C6" s="46"/>
    </row>
    <row r="7" spans="1:3" x14ac:dyDescent="0.2">
      <c r="A7" s="46"/>
      <c r="B7" s="46"/>
      <c r="C7" s="46"/>
    </row>
    <row r="8" spans="1:3" x14ac:dyDescent="0.2">
      <c r="A8" s="46"/>
      <c r="B8" s="46"/>
      <c r="C8" s="46"/>
    </row>
    <row r="9" spans="1:3" x14ac:dyDescent="0.2">
      <c r="A9" s="46"/>
      <c r="B9" s="46"/>
      <c r="C9" s="46"/>
    </row>
    <row r="10" spans="1:3" x14ac:dyDescent="0.2">
      <c r="A10" s="46"/>
      <c r="B10" s="46"/>
      <c r="C10" s="46"/>
    </row>
    <row r="11" spans="1:3" x14ac:dyDescent="0.2">
      <c r="A11" s="46"/>
      <c r="B11" s="46"/>
      <c r="C11" s="46"/>
    </row>
    <row r="12" spans="1:3" x14ac:dyDescent="0.2">
      <c r="A12" s="46"/>
      <c r="B12" s="46"/>
      <c r="C12" s="46"/>
    </row>
    <row r="13" spans="1:3" x14ac:dyDescent="0.2">
      <c r="A13" s="46"/>
      <c r="B13" s="46"/>
      <c r="C13" s="46"/>
    </row>
    <row r="14" spans="1:3" x14ac:dyDescent="0.2">
      <c r="A14" s="46"/>
      <c r="B14" s="46"/>
      <c r="C14" s="46"/>
    </row>
    <row r="15" spans="1:3" x14ac:dyDescent="0.2">
      <c r="A15" s="46"/>
      <c r="B15" s="46"/>
      <c r="C15" s="46"/>
    </row>
    <row r="16" spans="1:3" x14ac:dyDescent="0.2">
      <c r="A16" s="46"/>
      <c r="B16" s="46"/>
      <c r="C16" s="46"/>
    </row>
    <row r="17" spans="1:8" x14ac:dyDescent="0.2">
      <c r="A17" s="46"/>
      <c r="B17" s="46"/>
      <c r="C17" s="46"/>
    </row>
    <row r="18" spans="1:8" x14ac:dyDescent="0.2">
      <c r="A18" s="46"/>
      <c r="B18" s="46"/>
      <c r="C18" s="46"/>
    </row>
    <row r="19" spans="1:8" x14ac:dyDescent="0.2">
      <c r="A19" s="46"/>
      <c r="B19" s="46"/>
      <c r="C19" s="46"/>
    </row>
    <row r="20" spans="1:8" x14ac:dyDescent="0.2">
      <c r="A20" s="46"/>
      <c r="B20" s="46"/>
      <c r="C20" s="46"/>
    </row>
    <row r="21" spans="1:8" x14ac:dyDescent="0.2">
      <c r="A21" s="46"/>
      <c r="B21" s="46"/>
      <c r="C21" s="46"/>
    </row>
    <row r="25" spans="1:8" ht="379" customHeight="1" x14ac:dyDescent="0.2">
      <c r="A25" s="47" t="s">
        <v>32</v>
      </c>
    </row>
    <row r="29" spans="1:8" x14ac:dyDescent="0.2">
      <c r="C29" s="48" t="s">
        <v>33</v>
      </c>
      <c r="D29" s="49">
        <v>1</v>
      </c>
      <c r="G29" s="48"/>
      <c r="H29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cover sheet</vt:lpstr>
      <vt:lpstr>revision history</vt:lpstr>
      <vt:lpstr>references</vt:lpstr>
      <vt:lpstr>ranking</vt:lpstr>
      <vt:lpstr>800-30 quantization</vt:lpstr>
      <vt:lpstr>legend</vt:lpstr>
      <vt:lpstr>RQ_comp_e</vt:lpstr>
      <vt:lpstr>RQ_comp_s</vt:lpstr>
      <vt:lpstr>RQ_end</vt:lpstr>
      <vt:lpstr>RQ_end_800</vt:lpstr>
      <vt:lpstr>RQ_end_comp</vt:lpstr>
      <vt:lpstr>RQ_start</vt:lpstr>
      <vt:lpstr>RQ_start_800</vt:lpstr>
      <vt:lpstr>RQ_start_comp</vt:lpstr>
    </vt:vector>
  </TitlesOfParts>
  <Manager/>
  <Company>Torc Robotics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threat candidate ranking template (SP 800-30)</dc:title>
  <dc:subject>NIST SP 800-30 specific threat candidate ranking template</dc:subject>
  <dc:creator>Charles Wilson</dc:creator>
  <cp:keywords>cybersecurity, threat prioritization</cp:keywords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2026-07-29T19:21:01Z</dcterms:created>
  <dcterms:modified xsi:type="dcterms:W3CDTF">2026-07-30T17:25:25Z</dcterms:modified>
  <cp:category>threat prioritization</cp:category>
</cp:coreProperties>
</file>